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说明" sheetId="1" state="visible" r:id="rId3"/>
    <sheet name="01参数" sheetId="2" state="visible" r:id="rId4"/>
    <sheet name="02项目1度量" sheetId="3" state="visible" r:id="rId5"/>
    <sheet name="03项目2度量" sheetId="4" state="visible" r:id="rId6"/>
    <sheet name="04汇总对比" sheetId="5" state="visible" r:id="rId7"/>
    <sheet name="05监控报告" sheetId="6" state="visible" r:id="rId8"/>
    <sheet name="06功能分解" sheetId="7" state="visible" r:id="rId9"/>
    <sheet name="07质量检查" sheetId="8" state="visible" r:id="rId10"/>
  </sheets>
  <definedNames>
    <definedName function="false" hidden="true" localSheetId="6" name="_xlnm._FilterDatabase" vbProcedure="false">'06功能分解'!$A$8:$L$35</definedName>
    <definedName function="false" hidden="true" localSheetId="7" name="_xlnm._FilterDatabase" vbProcedure="false">'07质量检查'!$A$9:$H$50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<sst xmlns="http://schemas.openxmlformats.org/spreadsheetml/2006/main" count="1252" uniqueCount="902">
  <si>
    <t xml:space="preserve">《供水营销管理系统》项目度量与需求分析工作簿 — 使用说明</t>
  </si>
  <si>
    <t xml:space="preserve">一、工作簿用途</t>
  </si>
  <si>
    <r>
      <rPr>
        <sz val="10"/>
        <rFont val="Arial Unicode MS"/>
        <family val="2"/>
        <charset val="1"/>
      </rPr>
      <t xml:space="preserve">本工作簿汇集《供水营销管理系统》需求规格说明书（</t>
    </r>
    <r>
      <rPr>
        <sz val="10"/>
        <rFont val="Arial"/>
        <family val="0"/>
        <charset val="1"/>
      </rPr>
      <t xml:space="preserve">SRS</t>
    </r>
    <r>
      <rPr>
        <sz val="10"/>
        <rFont val="Arial Unicode MS"/>
        <family val="2"/>
        <charset val="1"/>
      </rPr>
      <t xml:space="preserve">）的功能分解与质量检查结果，以及两个已结项软件项目的度量数据，用于：①跨项目度量对比与组织级基线参考；②按可调阈值的红绿灯偏差监控；③新项目（</t>
    </r>
    <r>
      <rPr>
        <sz val="10"/>
        <rFont val="Arial"/>
        <family val="0"/>
        <charset val="1"/>
      </rPr>
      <t xml:space="preserve">24</t>
    </r>
    <r>
      <rPr>
        <sz val="10"/>
        <rFont val="Arial Unicode MS"/>
        <family val="2"/>
        <charset val="1"/>
      </rPr>
      <t xml:space="preserve">个二级功能）估算与需求评审支撑。</t>
    </r>
  </si>
  <si>
    <t xml:space="preserve">二、工作表清单</t>
  </si>
  <si>
    <r>
      <rPr>
        <sz val="10"/>
        <rFont val="Arial Unicode MS"/>
        <family val="2"/>
        <charset val="1"/>
      </rPr>
      <t xml:space="preserve">「</t>
    </r>
    <r>
      <rPr>
        <sz val="10"/>
        <rFont val="Arial"/>
        <family val="0"/>
        <charset val="1"/>
      </rPr>
      <t xml:space="preserve">01</t>
    </r>
    <r>
      <rPr>
        <sz val="10"/>
        <rFont val="Arial Unicode MS"/>
        <family val="2"/>
        <charset val="1"/>
      </rPr>
      <t xml:space="preserve">参数」 监控阈值与口径参数（全部蓝字可修改），缺陷加权权重、人时换算也在此维护，供全簿公式引用</t>
    </r>
  </si>
  <si>
    <r>
      <rPr>
        <sz val="10"/>
        <rFont val="Arial Unicode MS"/>
        <family val="2"/>
        <charset val="1"/>
      </rPr>
      <t xml:space="preserve">「</t>
    </r>
    <r>
      <rPr>
        <sz val="10"/>
        <rFont val="Arial"/>
        <family val="0"/>
        <charset val="1"/>
      </rPr>
      <t xml:space="preserve">02</t>
    </r>
    <r>
      <rPr>
        <sz val="10"/>
        <rFont val="Arial Unicode MS"/>
        <family val="2"/>
        <charset val="1"/>
      </rPr>
      <t xml:space="preserve">项目</t>
    </r>
    <r>
      <rPr>
        <sz val="10"/>
        <rFont val="Arial"/>
        <family val="0"/>
        <charset val="1"/>
      </rPr>
      <t xml:space="preserve">1</t>
    </r>
    <r>
      <rPr>
        <sz val="10"/>
        <rFont val="Arial Unicode MS"/>
        <family val="2"/>
        <charset val="1"/>
      </rPr>
      <t xml:space="preserve">度量」 项目</t>
    </r>
    <r>
      <rPr>
        <sz val="10"/>
        <rFont val="Arial"/>
        <family val="0"/>
        <charset val="1"/>
      </rPr>
      <t xml:space="preserve">1</t>
    </r>
    <r>
      <rPr>
        <sz val="10"/>
        <rFont val="Arial Unicode MS"/>
        <family val="2"/>
        <charset val="1"/>
      </rPr>
      <t xml:space="preserve">（度量表</t>
    </r>
    <r>
      <rPr>
        <sz val="10"/>
        <rFont val="Arial"/>
        <family val="0"/>
        <charset val="1"/>
      </rPr>
      <t xml:space="preserve">1</t>
    </r>
    <r>
      <rPr>
        <sz val="10"/>
        <rFont val="Arial Unicode MS"/>
        <family val="2"/>
        <charset val="1"/>
      </rPr>
      <t xml:space="preserve">，</t>
    </r>
    <r>
      <rPr>
        <sz val="10"/>
        <rFont val="Arial"/>
        <family val="0"/>
        <charset val="1"/>
      </rPr>
      <t xml:space="preserve">256FP</t>
    </r>
    <r>
      <rPr>
        <sz val="10"/>
        <rFont val="Arial Unicode MS"/>
        <family val="2"/>
        <charset val="1"/>
      </rPr>
      <t xml:space="preserve">，</t>
    </r>
    <r>
      <rPr>
        <sz val="10"/>
        <rFont val="Arial"/>
        <family val="0"/>
        <charset val="1"/>
      </rPr>
      <t xml:space="preserve">2025-02-24~06-30</t>
    </r>
    <r>
      <rPr>
        <sz val="10"/>
        <rFont val="Arial Unicode MS"/>
        <family val="2"/>
        <charset val="1"/>
      </rPr>
      <t xml:space="preserve">）：规模</t>
    </r>
    <r>
      <rPr>
        <sz val="10"/>
        <rFont val="Arial"/>
        <family val="0"/>
        <charset val="1"/>
      </rPr>
      <t xml:space="preserve">/</t>
    </r>
    <r>
      <rPr>
        <sz val="10"/>
        <rFont val="Arial Unicode MS"/>
        <family val="2"/>
        <charset val="1"/>
      </rPr>
      <t xml:space="preserve">工作量</t>
    </r>
    <r>
      <rPr>
        <sz val="10"/>
        <rFont val="Arial"/>
        <family val="0"/>
        <charset val="1"/>
      </rPr>
      <t xml:space="preserve">/</t>
    </r>
    <r>
      <rPr>
        <sz val="10"/>
        <rFont val="Arial Unicode MS"/>
        <family val="2"/>
        <charset val="1"/>
      </rPr>
      <t xml:space="preserve">进度</t>
    </r>
    <r>
      <rPr>
        <sz val="10"/>
        <rFont val="Arial"/>
        <family val="0"/>
        <charset val="1"/>
      </rPr>
      <t xml:space="preserve">/</t>
    </r>
    <r>
      <rPr>
        <sz val="10"/>
        <rFont val="Arial Unicode MS"/>
        <family val="2"/>
        <charset val="1"/>
      </rPr>
      <t xml:space="preserve">成本四块 </t>
    </r>
    <r>
      <rPr>
        <sz val="10"/>
        <rFont val="Arial"/>
        <family val="0"/>
        <charset val="1"/>
      </rPr>
      <t xml:space="preserve">+ </t>
    </r>
    <r>
      <rPr>
        <sz val="10"/>
        <rFont val="Arial Unicode MS"/>
        <family val="2"/>
        <charset val="1"/>
      </rPr>
      <t xml:space="preserve">关键派生指标（供</t>
    </r>
    <r>
      <rPr>
        <sz val="10"/>
        <rFont val="Arial"/>
        <family val="0"/>
        <charset val="1"/>
      </rPr>
      <t xml:space="preserve">04/05</t>
    </r>
    <r>
      <rPr>
        <sz val="10"/>
        <rFont val="Arial Unicode MS"/>
        <family val="2"/>
        <charset val="1"/>
      </rPr>
      <t xml:space="preserve">引用）</t>
    </r>
  </si>
  <si>
    <r>
      <rPr>
        <sz val="10"/>
        <rFont val="Arial Unicode MS"/>
        <family val="2"/>
        <charset val="1"/>
      </rPr>
      <t xml:space="preserve">「</t>
    </r>
    <r>
      <rPr>
        <sz val="10"/>
        <rFont val="Arial"/>
        <family val="0"/>
        <charset val="1"/>
      </rPr>
      <t xml:space="preserve">03</t>
    </r>
    <r>
      <rPr>
        <sz val="10"/>
        <rFont val="Arial Unicode MS"/>
        <family val="2"/>
        <charset val="1"/>
      </rPr>
      <t xml:space="preserve">项目</t>
    </r>
    <r>
      <rPr>
        <sz val="10"/>
        <rFont val="Arial"/>
        <family val="0"/>
        <charset val="1"/>
      </rPr>
      <t xml:space="preserve">2</t>
    </r>
    <r>
      <rPr>
        <sz val="10"/>
        <rFont val="Arial Unicode MS"/>
        <family val="2"/>
        <charset val="1"/>
      </rPr>
      <t xml:space="preserve">度量」 项目</t>
    </r>
    <r>
      <rPr>
        <sz val="10"/>
        <rFont val="Arial"/>
        <family val="0"/>
        <charset val="1"/>
      </rPr>
      <t xml:space="preserve">2</t>
    </r>
    <r>
      <rPr>
        <sz val="10"/>
        <rFont val="Arial Unicode MS"/>
        <family val="2"/>
        <charset val="1"/>
      </rPr>
      <t xml:space="preserve">（度量表</t>
    </r>
    <r>
      <rPr>
        <sz val="10"/>
        <rFont val="Arial"/>
        <family val="0"/>
        <charset val="1"/>
      </rPr>
      <t xml:space="preserve">2</t>
    </r>
    <r>
      <rPr>
        <sz val="10"/>
        <rFont val="Arial Unicode MS"/>
        <family val="2"/>
        <charset val="1"/>
      </rPr>
      <t xml:space="preserve">，</t>
    </r>
    <r>
      <rPr>
        <sz val="10"/>
        <rFont val="Arial"/>
        <family val="0"/>
        <charset val="1"/>
      </rPr>
      <t xml:space="preserve">KSSH-1102</t>
    </r>
    <r>
      <rPr>
        <sz val="10"/>
        <rFont val="Arial Unicode MS"/>
        <family val="2"/>
        <charset val="1"/>
      </rPr>
      <t xml:space="preserve">，</t>
    </r>
    <r>
      <rPr>
        <sz val="10"/>
        <rFont val="Arial"/>
        <family val="0"/>
        <charset val="1"/>
      </rPr>
      <t xml:space="preserve">327FP</t>
    </r>
    <r>
      <rPr>
        <sz val="10"/>
        <rFont val="Arial Unicode MS"/>
        <family val="2"/>
        <charset val="1"/>
      </rPr>
      <t xml:space="preserve">，</t>
    </r>
    <r>
      <rPr>
        <sz val="10"/>
        <rFont val="Arial"/>
        <family val="0"/>
        <charset val="1"/>
      </rPr>
      <t xml:space="preserve">2024-09-13~2025-04-02</t>
    </r>
    <r>
      <rPr>
        <sz val="10"/>
        <rFont val="Arial Unicode MS"/>
        <family val="2"/>
        <charset val="1"/>
      </rPr>
      <t xml:space="preserve">）：工作量</t>
    </r>
    <r>
      <rPr>
        <sz val="10"/>
        <rFont val="Arial"/>
        <family val="0"/>
        <charset val="1"/>
      </rPr>
      <t xml:space="preserve">/</t>
    </r>
    <r>
      <rPr>
        <sz val="10"/>
        <rFont val="Arial Unicode MS"/>
        <family val="2"/>
        <charset val="1"/>
      </rPr>
      <t xml:space="preserve">规模效率</t>
    </r>
    <r>
      <rPr>
        <sz val="10"/>
        <rFont val="Arial"/>
        <family val="0"/>
        <charset val="1"/>
      </rPr>
      <t xml:space="preserve">/</t>
    </r>
    <r>
      <rPr>
        <sz val="10"/>
        <rFont val="Arial Unicode MS"/>
        <family val="2"/>
        <charset val="1"/>
      </rPr>
      <t xml:space="preserve">工期</t>
    </r>
    <r>
      <rPr>
        <sz val="10"/>
        <rFont val="Arial"/>
        <family val="0"/>
        <charset val="1"/>
      </rPr>
      <t xml:space="preserve">/</t>
    </r>
    <r>
      <rPr>
        <sz val="10"/>
        <rFont val="Arial Unicode MS"/>
        <family val="2"/>
        <charset val="1"/>
      </rPr>
      <t xml:space="preserve">成本</t>
    </r>
    <r>
      <rPr>
        <sz val="10"/>
        <rFont val="Arial"/>
        <family val="0"/>
        <charset val="1"/>
      </rPr>
      <t xml:space="preserve">/</t>
    </r>
    <r>
      <rPr>
        <sz val="10"/>
        <rFont val="Arial Unicode MS"/>
        <family val="2"/>
        <charset val="1"/>
      </rPr>
      <t xml:space="preserve">缺陷</t>
    </r>
    <r>
      <rPr>
        <sz val="10"/>
        <rFont val="Arial"/>
        <family val="0"/>
        <charset val="1"/>
      </rPr>
      <t xml:space="preserve">/</t>
    </r>
    <r>
      <rPr>
        <sz val="10"/>
        <rFont val="Arial Unicode MS"/>
        <family val="2"/>
        <charset val="1"/>
      </rPr>
      <t xml:space="preserve">评审 </t>
    </r>
    <r>
      <rPr>
        <sz val="10"/>
        <rFont val="Arial"/>
        <family val="0"/>
        <charset val="1"/>
      </rPr>
      <t xml:space="preserve">+ </t>
    </r>
    <r>
      <rPr>
        <sz val="10"/>
        <rFont val="Arial Unicode MS"/>
        <family val="2"/>
        <charset val="1"/>
      </rPr>
      <t xml:space="preserve">关键派生指标</t>
    </r>
  </si>
  <si>
    <r>
      <rPr>
        <sz val="10"/>
        <rFont val="Arial Unicode MS"/>
        <family val="2"/>
        <charset val="1"/>
      </rPr>
      <t xml:space="preserve">「</t>
    </r>
    <r>
      <rPr>
        <sz val="10"/>
        <rFont val="Arial"/>
        <family val="0"/>
        <charset val="1"/>
      </rPr>
      <t xml:space="preserve">04</t>
    </r>
    <r>
      <rPr>
        <sz val="10"/>
        <rFont val="Arial Unicode MS"/>
        <family val="2"/>
        <charset val="1"/>
      </rPr>
      <t xml:space="preserve">汇总对比」 两项目</t>
    </r>
    <r>
      <rPr>
        <sz val="10"/>
        <rFont val="Arial"/>
        <family val="0"/>
        <charset val="1"/>
      </rPr>
      <t xml:space="preserve">15</t>
    </r>
    <r>
      <rPr>
        <sz val="10"/>
        <rFont val="Arial Unicode MS"/>
        <family val="2"/>
        <charset val="1"/>
      </rPr>
      <t xml:space="preserve">项指标横向对比，全部跨表引用公式取数，附差异说明</t>
    </r>
  </si>
  <si>
    <r>
      <rPr>
        <sz val="10"/>
        <rFont val="Arial Unicode MS"/>
        <family val="2"/>
        <charset val="1"/>
      </rPr>
      <t xml:space="preserve">「</t>
    </r>
    <r>
      <rPr>
        <sz val="10"/>
        <rFont val="Arial"/>
        <family val="0"/>
        <charset val="1"/>
      </rPr>
      <t xml:space="preserve">05</t>
    </r>
    <r>
      <rPr>
        <sz val="10"/>
        <rFont val="Arial Unicode MS"/>
        <family val="2"/>
        <charset val="1"/>
      </rPr>
      <t xml:space="preserve">监控报告」 红绿灯仪表盘：</t>
    </r>
    <r>
      <rPr>
        <sz val="10"/>
        <rFont val="Arial"/>
        <family val="0"/>
        <charset val="1"/>
      </rPr>
      <t xml:space="preserve">11</t>
    </r>
    <r>
      <rPr>
        <sz val="10"/>
        <rFont val="Arial Unicode MS"/>
        <family val="2"/>
        <charset val="1"/>
      </rPr>
      <t xml:space="preserve">项指标 </t>
    </r>
    <r>
      <rPr>
        <sz val="10"/>
        <rFont val="Arial"/>
        <family val="0"/>
        <charset val="1"/>
      </rPr>
      <t xml:space="preserve">× 01</t>
    </r>
    <r>
      <rPr>
        <sz val="10"/>
        <rFont val="Arial Unicode MS"/>
        <family val="2"/>
        <charset val="1"/>
      </rPr>
      <t xml:space="preserve">参数阈值自动判定（●正常</t>
    </r>
    <r>
      <rPr>
        <sz val="10"/>
        <rFont val="Arial"/>
        <family val="0"/>
        <charset val="1"/>
      </rPr>
      <t xml:space="preserve">/▲</t>
    </r>
    <r>
      <rPr>
        <sz val="10"/>
        <rFont val="Arial Unicode MS"/>
        <family val="2"/>
        <charset val="1"/>
      </rPr>
      <t xml:space="preserve">预警</t>
    </r>
    <r>
      <rPr>
        <sz val="10"/>
        <rFont val="Arial"/>
        <family val="0"/>
        <charset val="1"/>
      </rPr>
      <t xml:space="preserve">/✖</t>
    </r>
    <r>
      <rPr>
        <sz val="10"/>
        <rFont val="Arial Unicode MS"/>
        <family val="2"/>
        <charset val="1"/>
      </rPr>
      <t xml:space="preserve">超限），底部自动生成结论与风险建议</t>
    </r>
  </si>
  <si>
    <r>
      <rPr>
        <sz val="10"/>
        <rFont val="Arial Unicode MS"/>
        <family val="2"/>
        <charset val="1"/>
      </rPr>
      <t xml:space="preserve">「</t>
    </r>
    <r>
      <rPr>
        <sz val="10"/>
        <rFont val="Arial"/>
        <family val="0"/>
        <charset val="1"/>
      </rPr>
      <t xml:space="preserve">06</t>
    </r>
    <r>
      <rPr>
        <sz val="10"/>
        <rFont val="Arial Unicode MS"/>
        <family val="2"/>
        <charset val="1"/>
      </rPr>
      <t xml:space="preserve">功能分解」 </t>
    </r>
    <r>
      <rPr>
        <sz val="10"/>
        <rFont val="Arial"/>
        <family val="0"/>
        <charset val="1"/>
      </rPr>
      <t xml:space="preserve">SRS</t>
    </r>
    <r>
      <rPr>
        <sz val="10"/>
        <rFont val="Arial Unicode MS"/>
        <family val="2"/>
        <charset val="1"/>
      </rPr>
      <t xml:space="preserve">功能分解</t>
    </r>
    <r>
      <rPr>
        <sz val="10"/>
        <rFont val="Arial"/>
        <family val="0"/>
        <charset val="1"/>
      </rPr>
      <t xml:space="preserve">WBS</t>
    </r>
    <r>
      <rPr>
        <sz val="10"/>
        <rFont val="Arial Unicode MS"/>
        <family val="2"/>
        <charset val="1"/>
      </rPr>
      <t xml:space="preserve">全清单（</t>
    </r>
    <r>
      <rPr>
        <sz val="10"/>
        <rFont val="Arial"/>
        <family val="0"/>
        <charset val="1"/>
      </rPr>
      <t xml:space="preserve">8</t>
    </r>
    <r>
      <rPr>
        <sz val="10"/>
        <rFont val="Arial Unicode MS"/>
        <family val="2"/>
        <charset val="1"/>
      </rPr>
      <t xml:space="preserve">模块</t>
    </r>
    <r>
      <rPr>
        <sz val="10"/>
        <rFont val="Arial"/>
        <family val="0"/>
        <charset val="1"/>
      </rPr>
      <t xml:space="preserve">27</t>
    </r>
    <r>
      <rPr>
        <sz val="10"/>
        <rFont val="Arial Unicode MS"/>
        <family val="2"/>
        <charset val="1"/>
      </rPr>
      <t xml:space="preserve">功能，含</t>
    </r>
    <r>
      <rPr>
        <sz val="10"/>
        <rFont val="Arial"/>
        <family val="0"/>
        <charset val="1"/>
      </rPr>
      <t xml:space="preserve">3</t>
    </r>
    <r>
      <rPr>
        <sz val="10"/>
        <rFont val="Arial Unicode MS"/>
        <family val="2"/>
        <charset val="1"/>
      </rPr>
      <t xml:space="preserve">个银行代收接口），含优先级映射、输入输出、验收要点；下方附范围缺口扩展建议</t>
    </r>
  </si>
  <si>
    <r>
      <rPr>
        <sz val="10"/>
        <rFont val="Arial Unicode MS"/>
        <family val="2"/>
        <charset val="1"/>
      </rPr>
      <t xml:space="preserve">「</t>
    </r>
    <r>
      <rPr>
        <sz val="10"/>
        <rFont val="Arial"/>
        <family val="0"/>
        <charset val="1"/>
      </rPr>
      <t xml:space="preserve">07</t>
    </r>
    <r>
      <rPr>
        <sz val="10"/>
        <rFont val="Arial Unicode MS"/>
        <family val="2"/>
        <charset val="1"/>
      </rPr>
      <t xml:space="preserve">质量检查」 </t>
    </r>
    <r>
      <rPr>
        <sz val="10"/>
        <rFont val="Arial"/>
        <family val="0"/>
        <charset val="1"/>
      </rPr>
      <t xml:space="preserve">SRS</t>
    </r>
    <r>
      <rPr>
        <sz val="10"/>
        <rFont val="Arial Unicode MS"/>
        <family val="2"/>
        <charset val="1"/>
      </rPr>
      <t xml:space="preserve">质量问题清单</t>
    </r>
    <r>
      <rPr>
        <sz val="10"/>
        <rFont val="Arial"/>
        <family val="0"/>
        <charset val="1"/>
      </rPr>
      <t xml:space="preserve">41</t>
    </r>
    <r>
      <rPr>
        <sz val="10"/>
        <rFont val="Arial Unicode MS"/>
        <family val="2"/>
        <charset val="1"/>
      </rPr>
      <t xml:space="preserve">项（高</t>
    </r>
    <r>
      <rPr>
        <sz val="10"/>
        <rFont val="Arial"/>
        <family val="0"/>
        <charset val="1"/>
      </rPr>
      <t xml:space="preserve">18/</t>
    </r>
    <r>
      <rPr>
        <sz val="10"/>
        <rFont val="Arial Unicode MS"/>
        <family val="2"/>
        <charset val="1"/>
      </rPr>
      <t xml:space="preserve">中</t>
    </r>
    <r>
      <rPr>
        <sz val="10"/>
        <rFont val="Arial"/>
        <family val="0"/>
        <charset val="1"/>
      </rPr>
      <t xml:space="preserve">16/</t>
    </r>
    <r>
      <rPr>
        <sz val="10"/>
        <rFont val="Arial Unicode MS"/>
        <family val="2"/>
        <charset val="1"/>
      </rPr>
      <t xml:space="preserve">低</t>
    </r>
    <r>
      <rPr>
        <sz val="10"/>
        <rFont val="Arial"/>
        <family val="0"/>
        <charset val="1"/>
      </rPr>
      <t xml:space="preserve">7</t>
    </r>
    <r>
      <rPr>
        <sz val="10"/>
        <rFont val="Arial Unicode MS"/>
        <family val="2"/>
        <charset val="1"/>
      </rPr>
      <t xml:space="preserve">），按严重度与类别自动统计，支持筛选</t>
    </r>
  </si>
  <si>
    <t xml:space="preserve">三、使用方法</t>
  </si>
  <si>
    <r>
      <rPr>
        <sz val="10"/>
        <rFont val="Arial Unicode MS"/>
        <family val="2"/>
        <charset val="1"/>
      </rPr>
      <t xml:space="preserve">颜色约定：蓝字</t>
    </r>
    <r>
      <rPr>
        <sz val="10"/>
        <rFont val="Arial"/>
        <family val="0"/>
        <charset val="1"/>
      </rPr>
      <t xml:space="preserve">=</t>
    </r>
    <r>
      <rPr>
        <sz val="10"/>
        <rFont val="Arial Unicode MS"/>
        <family val="2"/>
        <charset val="1"/>
      </rPr>
      <t xml:space="preserve">可修改的输入原值；黑字</t>
    </r>
    <r>
      <rPr>
        <sz val="10"/>
        <rFont val="Arial"/>
        <family val="0"/>
        <charset val="1"/>
      </rPr>
      <t xml:space="preserve">=</t>
    </r>
    <r>
      <rPr>
        <sz val="10"/>
        <rFont val="Arial Unicode MS"/>
        <family val="2"/>
        <charset val="1"/>
      </rPr>
      <t xml:space="preserve">公式自动计算（请勿覆盖）；绿字</t>
    </r>
    <r>
      <rPr>
        <sz val="10"/>
        <rFont val="Arial"/>
        <family val="0"/>
        <charset val="1"/>
      </rPr>
      <t xml:space="preserve">=</t>
    </r>
    <r>
      <rPr>
        <sz val="10"/>
        <rFont val="Arial Unicode MS"/>
        <family val="2"/>
        <charset val="1"/>
      </rPr>
      <t xml:space="preserve">跨表引用公式；深蓝底白字</t>
    </r>
    <r>
      <rPr>
        <sz val="10"/>
        <rFont val="Arial"/>
        <family val="0"/>
        <charset val="1"/>
      </rPr>
      <t xml:space="preserve">=</t>
    </r>
    <r>
      <rPr>
        <sz val="10"/>
        <rFont val="Arial Unicode MS"/>
        <family val="2"/>
        <charset val="1"/>
      </rPr>
      <t xml:space="preserve">表头。</t>
    </r>
  </si>
  <si>
    <r>
      <rPr>
        <sz val="10"/>
        <rFont val="Arial Unicode MS"/>
        <family val="2"/>
        <charset val="1"/>
      </rPr>
      <t xml:space="preserve">调整监控口径：修改「</t>
    </r>
    <r>
      <rPr>
        <sz val="10"/>
        <rFont val="Arial"/>
        <family val="0"/>
        <charset val="1"/>
      </rPr>
      <t xml:space="preserve">01</t>
    </r>
    <r>
      <rPr>
        <sz val="10"/>
        <rFont val="Arial Unicode MS"/>
        <family val="2"/>
        <charset val="1"/>
      </rPr>
      <t xml:space="preserve">参数」中任一蓝字阈值（如把工作量偏差控制范围由</t>
    </r>
    <r>
      <rPr>
        <sz val="10"/>
        <rFont val="Arial"/>
        <family val="0"/>
        <charset val="1"/>
      </rPr>
      <t xml:space="preserve">15%</t>
    </r>
    <r>
      <rPr>
        <sz val="10"/>
        <rFont val="Arial Unicode MS"/>
        <family val="2"/>
        <charset val="1"/>
      </rPr>
      <t xml:space="preserve">改为</t>
    </r>
    <r>
      <rPr>
        <sz val="10"/>
        <rFont val="Arial"/>
        <family val="0"/>
        <charset val="1"/>
      </rPr>
      <t xml:space="preserve">10%</t>
    </r>
    <r>
      <rPr>
        <sz val="10"/>
        <rFont val="Arial Unicode MS"/>
        <family val="2"/>
        <charset val="1"/>
      </rPr>
      <t xml:space="preserve">），保存后「</t>
    </r>
    <r>
      <rPr>
        <sz val="10"/>
        <rFont val="Arial"/>
        <family val="0"/>
        <charset val="1"/>
      </rPr>
      <t xml:space="preserve">05</t>
    </r>
    <r>
      <rPr>
        <sz val="10"/>
        <rFont val="Arial Unicode MS"/>
        <family val="2"/>
        <charset val="1"/>
      </rPr>
      <t xml:space="preserve">监控报告」的状态列、统计与自动结论文字即联动重判；「</t>
    </r>
    <r>
      <rPr>
        <sz val="10"/>
        <rFont val="Arial"/>
        <family val="0"/>
        <charset val="1"/>
      </rPr>
      <t xml:space="preserve">02/03</t>
    </r>
    <r>
      <rPr>
        <sz val="10"/>
        <rFont val="Arial Unicode MS"/>
        <family val="2"/>
        <charset val="1"/>
      </rPr>
      <t xml:space="preserve">」表中显示的控制范围</t>
    </r>
    <r>
      <rPr>
        <sz val="10"/>
        <rFont val="Arial"/>
        <family val="0"/>
        <charset val="1"/>
      </rPr>
      <t xml:space="preserve">/</t>
    </r>
    <r>
      <rPr>
        <sz val="10"/>
        <rFont val="Arial Unicode MS"/>
        <family val="2"/>
        <charset val="1"/>
      </rPr>
      <t xml:space="preserve">目标值文字亦随之更新。</t>
    </r>
  </si>
  <si>
    <r>
      <rPr>
        <sz val="10"/>
        <rFont val="Arial Unicode MS"/>
        <family val="2"/>
        <charset val="1"/>
      </rPr>
      <t xml:space="preserve">本工作簿公式为标准</t>
    </r>
    <r>
      <rPr>
        <sz val="10"/>
        <rFont val="Arial"/>
        <family val="0"/>
        <charset val="1"/>
      </rPr>
      <t xml:space="preserve">Excel</t>
    </r>
    <r>
      <rPr>
        <sz val="10"/>
        <rFont val="Arial Unicode MS"/>
        <family val="2"/>
        <charset val="1"/>
      </rPr>
      <t xml:space="preserve">函数（</t>
    </r>
    <r>
      <rPr>
        <sz val="10"/>
        <rFont val="Arial"/>
        <family val="0"/>
        <charset val="1"/>
      </rPr>
      <t xml:space="preserve">SUM/IF/COUNTIF/SUMPRODUCT/TEXTJOIN</t>
    </r>
    <r>
      <rPr>
        <sz val="10"/>
        <rFont val="Arial Unicode MS"/>
        <family val="2"/>
        <charset val="1"/>
      </rPr>
      <t xml:space="preserve">等），在 </t>
    </r>
    <r>
      <rPr>
        <sz val="10"/>
        <rFont val="Arial"/>
        <family val="0"/>
        <charset val="1"/>
      </rPr>
      <t xml:space="preserve">Excel / WPS / LibreOffice </t>
    </r>
    <r>
      <rPr>
        <sz val="10"/>
        <rFont val="Arial Unicode MS"/>
        <family val="2"/>
        <charset val="1"/>
      </rPr>
      <t xml:space="preserve">中打开会自动重算。</t>
    </r>
  </si>
  <si>
    <r>
      <rPr>
        <sz val="10"/>
        <rFont val="Arial Unicode MS"/>
        <family val="2"/>
        <charset val="1"/>
      </rPr>
      <t xml:space="preserve">「</t>
    </r>
    <r>
      <rPr>
        <sz val="10"/>
        <rFont val="Arial"/>
        <family val="0"/>
        <charset val="1"/>
      </rPr>
      <t xml:space="preserve">06</t>
    </r>
    <r>
      <rPr>
        <sz val="10"/>
        <rFont val="Arial Unicode MS"/>
        <family val="2"/>
        <charset val="1"/>
      </rPr>
      <t xml:space="preserve">功能分解」「</t>
    </r>
    <r>
      <rPr>
        <sz val="10"/>
        <rFont val="Arial"/>
        <family val="0"/>
        <charset val="1"/>
      </rPr>
      <t xml:space="preserve">07</t>
    </r>
    <r>
      <rPr>
        <sz val="10"/>
        <rFont val="Arial Unicode MS"/>
        <family val="2"/>
        <charset val="1"/>
      </rPr>
      <t xml:space="preserve">质量检查」首行已冻结并开启自动筛选，可按模块、优先级、严重度、类别过滤。</t>
    </r>
  </si>
  <si>
    <t xml:space="preserve">四、关键口径说明</t>
  </si>
  <si>
    <r>
      <rPr>
        <sz val="10"/>
        <rFont val="Arial Unicode MS"/>
        <family val="2"/>
        <charset val="1"/>
      </rPr>
      <t xml:space="preserve">项目</t>
    </r>
    <r>
      <rPr>
        <sz val="10"/>
        <rFont val="Arial"/>
        <family val="0"/>
        <charset val="1"/>
      </rPr>
      <t xml:space="preserve">1</t>
    </r>
    <r>
      <rPr>
        <sz val="10"/>
        <rFont val="Arial Unicode MS"/>
        <family val="2"/>
        <charset val="1"/>
      </rPr>
      <t xml:space="preserve">工作量偏差率以「需求阶段」估计值为基准：偏差率</t>
    </r>
    <r>
      <rPr>
        <sz val="10"/>
        <rFont val="Arial"/>
        <family val="0"/>
        <charset val="1"/>
      </rPr>
      <t xml:space="preserve">=(</t>
    </r>
    <r>
      <rPr>
        <sz val="10"/>
        <rFont val="Arial Unicode MS"/>
        <family val="2"/>
        <charset val="1"/>
      </rPr>
      <t xml:space="preserve">实际</t>
    </r>
    <r>
      <rPr>
        <sz val="10"/>
        <rFont val="Arial"/>
        <family val="0"/>
        <charset val="1"/>
      </rPr>
      <t xml:space="preserve">-</t>
    </r>
    <r>
      <rPr>
        <sz val="10"/>
        <rFont val="Arial Unicode MS"/>
        <family val="2"/>
        <charset val="1"/>
      </rPr>
      <t xml:space="preserve">需求阶段估计</t>
    </r>
    <r>
      <rPr>
        <sz val="10"/>
        <rFont val="Arial"/>
        <family val="0"/>
        <charset val="1"/>
      </rPr>
      <t xml:space="preserve">)/</t>
    </r>
    <r>
      <rPr>
        <sz val="10"/>
        <rFont val="Arial Unicode MS"/>
        <family val="2"/>
        <charset val="1"/>
      </rPr>
      <t xml:space="preserve">需求阶段估计。</t>
    </r>
  </si>
  <si>
    <r>
      <rPr>
        <sz val="10"/>
        <rFont val="Arial Unicode MS"/>
        <family val="2"/>
        <charset val="1"/>
      </rPr>
      <t xml:space="preserve">项目</t>
    </r>
    <r>
      <rPr>
        <sz val="10"/>
        <rFont val="Arial"/>
        <family val="0"/>
        <charset val="1"/>
      </rPr>
      <t xml:space="preserve">2</t>
    </r>
    <r>
      <rPr>
        <sz val="10"/>
        <rFont val="Arial Unicode MS"/>
        <family val="2"/>
        <charset val="1"/>
      </rPr>
      <t xml:space="preserve">缺陷加权数权重经原始数据反推核对为：致命</t>
    </r>
    <r>
      <rPr>
        <sz val="10"/>
        <rFont val="Arial"/>
        <family val="0"/>
        <charset val="1"/>
      </rPr>
      <t xml:space="preserve">×8</t>
    </r>
    <r>
      <rPr>
        <sz val="10"/>
        <rFont val="Arial Unicode MS"/>
        <family val="2"/>
        <charset val="1"/>
      </rPr>
      <t xml:space="preserve">、严重</t>
    </r>
    <r>
      <rPr>
        <sz val="10"/>
        <rFont val="Arial"/>
        <family val="0"/>
        <charset val="1"/>
      </rPr>
      <t xml:space="preserve">×4</t>
    </r>
    <r>
      <rPr>
        <sz val="10"/>
        <rFont val="Arial Unicode MS"/>
        <family val="2"/>
        <charset val="1"/>
      </rPr>
      <t xml:space="preserve">、一般</t>
    </r>
    <r>
      <rPr>
        <sz val="10"/>
        <rFont val="Arial"/>
        <family val="0"/>
        <charset val="1"/>
      </rPr>
      <t xml:space="preserve">×1</t>
    </r>
    <r>
      <rPr>
        <sz val="10"/>
        <rFont val="Arial Unicode MS"/>
        <family val="2"/>
        <charset val="1"/>
      </rPr>
      <t xml:space="preserve">、细微</t>
    </r>
    <r>
      <rPr>
        <sz val="10"/>
        <rFont val="Arial"/>
        <family val="0"/>
        <charset val="1"/>
      </rPr>
      <t xml:space="preserve">×0.5</t>
    </r>
    <r>
      <rPr>
        <sz val="10"/>
        <rFont val="Arial Unicode MS"/>
        <family val="2"/>
        <charset val="1"/>
      </rPr>
      <t xml:space="preserve">（</t>
    </r>
    <r>
      <rPr>
        <sz val="10"/>
        <rFont val="Arial"/>
        <family val="0"/>
        <charset val="1"/>
      </rPr>
      <t xml:space="preserve">102/28/130</t>
    </r>
    <r>
      <rPr>
        <sz val="10"/>
        <rFont val="Arial Unicode MS"/>
        <family val="2"/>
        <charset val="1"/>
      </rPr>
      <t xml:space="preserve">三行全部吻合），与常见的</t>
    </r>
    <r>
      <rPr>
        <sz val="10"/>
        <rFont val="Arial"/>
        <family val="0"/>
        <charset val="1"/>
      </rPr>
      <t xml:space="preserve">10/5/2/1</t>
    </r>
    <r>
      <rPr>
        <sz val="10"/>
        <rFont val="Arial Unicode MS"/>
        <family val="2"/>
        <charset val="1"/>
      </rPr>
      <t xml:space="preserve">模板口径不同；权重已参数化到「</t>
    </r>
    <r>
      <rPr>
        <sz val="10"/>
        <rFont val="Arial"/>
        <family val="0"/>
        <charset val="1"/>
      </rPr>
      <t xml:space="preserve">01</t>
    </r>
    <r>
      <rPr>
        <sz val="10"/>
        <rFont val="Arial Unicode MS"/>
        <family val="2"/>
        <charset val="1"/>
      </rPr>
      <t xml:space="preserve">参数」，如组织口径调整可直接修改。</t>
    </r>
  </si>
  <si>
    <r>
      <rPr>
        <sz val="10"/>
        <rFont val="Arial Unicode MS"/>
        <family val="2"/>
        <charset val="1"/>
      </rPr>
      <t xml:space="preserve">缺陷探测率</t>
    </r>
    <r>
      <rPr>
        <sz val="10"/>
        <rFont val="Arial"/>
        <family val="0"/>
        <charset val="1"/>
      </rPr>
      <t xml:space="preserve">=</t>
    </r>
    <r>
      <rPr>
        <sz val="10"/>
        <rFont val="Arial Unicode MS"/>
        <family val="2"/>
        <charset val="1"/>
      </rPr>
      <t xml:space="preserve">集成与系统测试缺陷加权数</t>
    </r>
    <r>
      <rPr>
        <sz val="10"/>
        <rFont val="Arial"/>
        <family val="0"/>
        <charset val="1"/>
      </rPr>
      <t xml:space="preserve">/</t>
    </r>
    <r>
      <rPr>
        <sz val="10"/>
        <rFont val="Arial Unicode MS"/>
        <family val="2"/>
        <charset val="1"/>
      </rPr>
      <t xml:space="preserve">总缺陷加权数；缺陷密度</t>
    </r>
    <r>
      <rPr>
        <sz val="10"/>
        <rFont val="Arial"/>
        <family val="0"/>
        <charset val="1"/>
      </rPr>
      <t xml:space="preserve">=</t>
    </r>
    <r>
      <rPr>
        <sz val="10"/>
        <rFont val="Arial Unicode MS"/>
        <family val="2"/>
        <charset val="1"/>
      </rPr>
      <t xml:space="preserve">缺陷加权数</t>
    </r>
    <r>
      <rPr>
        <sz val="10"/>
        <rFont val="Arial"/>
        <family val="0"/>
        <charset val="1"/>
      </rPr>
      <t xml:space="preserve">/</t>
    </r>
    <r>
      <rPr>
        <sz val="10"/>
        <rFont val="Arial Unicode MS"/>
        <family val="2"/>
        <charset val="1"/>
      </rPr>
      <t xml:space="preserve">实际规模</t>
    </r>
    <r>
      <rPr>
        <sz val="10"/>
        <rFont val="Arial"/>
        <family val="0"/>
        <charset val="1"/>
      </rPr>
      <t xml:space="preserve">FP</t>
    </r>
    <r>
      <rPr>
        <sz val="10"/>
        <rFont val="Arial Unicode MS"/>
        <family val="2"/>
        <charset val="1"/>
      </rPr>
      <t xml:space="preserve">；评审效率</t>
    </r>
    <r>
      <rPr>
        <sz val="10"/>
        <rFont val="Arial"/>
        <family val="0"/>
        <charset val="1"/>
      </rPr>
      <t xml:space="preserve">=</t>
    </r>
    <r>
      <rPr>
        <sz val="10"/>
        <rFont val="Arial Unicode MS"/>
        <family val="2"/>
        <charset val="1"/>
      </rPr>
      <t xml:space="preserve">评审缺陷总数</t>
    </r>
    <r>
      <rPr>
        <sz val="10"/>
        <rFont val="Arial"/>
        <family val="0"/>
        <charset val="1"/>
      </rPr>
      <t xml:space="preserve">/</t>
    </r>
    <r>
      <rPr>
        <sz val="10"/>
        <rFont val="Arial Unicode MS"/>
        <family val="2"/>
        <charset val="1"/>
      </rPr>
      <t xml:space="preserve">评审用时</t>
    </r>
    <r>
      <rPr>
        <sz val="10"/>
        <rFont val="Arial"/>
        <family val="0"/>
        <charset val="1"/>
      </rPr>
      <t xml:space="preserve">(</t>
    </r>
    <r>
      <rPr>
        <sz val="10"/>
        <rFont val="Arial Unicode MS"/>
        <family val="2"/>
        <charset val="1"/>
      </rPr>
      <t xml:space="preserve">人时</t>
    </r>
    <r>
      <rPr>
        <sz val="10"/>
        <rFont val="Arial"/>
        <family val="0"/>
        <charset val="1"/>
      </rPr>
      <t xml:space="preserve">)</t>
    </r>
    <r>
      <rPr>
        <sz val="10"/>
        <rFont val="Arial Unicode MS"/>
        <family val="2"/>
        <charset val="1"/>
      </rPr>
      <t xml:space="preserve">。</t>
    </r>
  </si>
  <si>
    <r>
      <rPr>
        <sz val="10"/>
        <rFont val="Arial Unicode MS"/>
        <family val="2"/>
        <charset val="1"/>
      </rPr>
      <t xml:space="preserve">功能点耗时率</t>
    </r>
    <r>
      <rPr>
        <sz val="10"/>
        <rFont val="Arial"/>
        <family val="0"/>
        <charset val="1"/>
      </rPr>
      <t xml:space="preserve">=</t>
    </r>
    <r>
      <rPr>
        <sz val="10"/>
        <rFont val="Arial Unicode MS"/>
        <family val="2"/>
        <charset val="1"/>
      </rPr>
      <t xml:space="preserve">总实际工作量</t>
    </r>
    <r>
      <rPr>
        <sz val="10"/>
        <rFont val="Arial"/>
        <family val="0"/>
        <charset val="1"/>
      </rPr>
      <t xml:space="preserve">(</t>
    </r>
    <r>
      <rPr>
        <sz val="10"/>
        <rFont val="Arial Unicode MS"/>
        <family val="2"/>
        <charset val="1"/>
      </rPr>
      <t xml:space="preserve">人天</t>
    </r>
    <r>
      <rPr>
        <sz val="10"/>
        <rFont val="Arial"/>
        <family val="0"/>
        <charset val="1"/>
      </rPr>
      <t xml:space="preserve">)×8(</t>
    </r>
    <r>
      <rPr>
        <sz val="10"/>
        <rFont val="Arial Unicode MS"/>
        <family val="2"/>
        <charset val="1"/>
      </rPr>
      <t xml:space="preserve">人时</t>
    </r>
    <r>
      <rPr>
        <sz val="10"/>
        <rFont val="Arial"/>
        <family val="0"/>
        <charset val="1"/>
      </rPr>
      <t xml:space="preserve">/</t>
    </r>
    <r>
      <rPr>
        <sz val="10"/>
        <rFont val="Arial Unicode MS"/>
        <family val="2"/>
        <charset val="1"/>
      </rPr>
      <t xml:space="preserve">人天</t>
    </r>
    <r>
      <rPr>
        <sz val="10"/>
        <rFont val="Arial"/>
        <family val="0"/>
        <charset val="1"/>
      </rPr>
      <t xml:space="preserve">)/</t>
    </r>
    <r>
      <rPr>
        <sz val="10"/>
        <rFont val="Arial Unicode MS"/>
        <family val="2"/>
        <charset val="1"/>
      </rPr>
      <t xml:space="preserve">实际规模</t>
    </r>
    <r>
      <rPr>
        <sz val="10"/>
        <rFont val="Arial"/>
        <family val="0"/>
        <charset val="1"/>
      </rPr>
      <t xml:space="preserve">FP</t>
    </r>
    <r>
      <rPr>
        <sz val="10"/>
        <rFont val="Arial Unicode MS"/>
        <family val="2"/>
        <charset val="1"/>
      </rPr>
      <t xml:space="preserve">；项目</t>
    </r>
    <r>
      <rPr>
        <sz val="10"/>
        <rFont val="Arial"/>
        <family val="0"/>
        <charset val="1"/>
      </rPr>
      <t xml:space="preserve">1</t>
    </r>
    <r>
      <rPr>
        <sz val="10"/>
        <rFont val="Arial Unicode MS"/>
        <family val="2"/>
        <charset val="1"/>
      </rPr>
      <t xml:space="preserve">原表未给出该指标，为同口径推算值。</t>
    </r>
  </si>
  <si>
    <r>
      <rPr>
        <sz val="10"/>
        <rFont val="Arial Unicode MS"/>
        <family val="2"/>
        <charset val="1"/>
      </rPr>
      <t xml:space="preserve">项目</t>
    </r>
    <r>
      <rPr>
        <sz val="10"/>
        <rFont val="Arial"/>
        <family val="0"/>
        <charset val="1"/>
      </rPr>
      <t xml:space="preserve">2</t>
    </r>
    <r>
      <rPr>
        <sz val="10"/>
        <rFont val="Arial Unicode MS"/>
        <family val="2"/>
        <charset val="1"/>
      </rPr>
      <t xml:space="preserve">工期为工作日口径（已扣节假日，日历跨度计划</t>
    </r>
    <r>
      <rPr>
        <sz val="10"/>
        <rFont val="Arial"/>
        <family val="0"/>
        <charset val="1"/>
      </rPr>
      <t xml:space="preserve">189</t>
    </r>
    <r>
      <rPr>
        <sz val="10"/>
        <rFont val="Arial Unicode MS"/>
        <family val="2"/>
        <charset val="1"/>
      </rPr>
      <t xml:space="preserve">天</t>
    </r>
    <r>
      <rPr>
        <sz val="10"/>
        <rFont val="Arial"/>
        <family val="0"/>
        <charset val="1"/>
      </rPr>
      <t xml:space="preserve">/</t>
    </r>
    <r>
      <rPr>
        <sz val="10"/>
        <rFont val="Arial Unicode MS"/>
        <family val="2"/>
        <charset val="1"/>
      </rPr>
      <t xml:space="preserve">实际</t>
    </r>
    <r>
      <rPr>
        <sz val="10"/>
        <rFont val="Arial"/>
        <family val="0"/>
        <charset val="1"/>
      </rPr>
      <t xml:space="preserve">202</t>
    </r>
    <r>
      <rPr>
        <sz val="10"/>
        <rFont val="Arial Unicode MS"/>
        <family val="2"/>
        <charset val="1"/>
      </rPr>
      <t xml:space="preserve">天）；项目</t>
    </r>
    <r>
      <rPr>
        <sz val="10"/>
        <rFont val="Arial"/>
        <family val="0"/>
        <charset val="1"/>
      </rPr>
      <t xml:space="preserve">1</t>
    </r>
    <r>
      <rPr>
        <sz val="10"/>
        <rFont val="Arial Unicode MS"/>
        <family val="2"/>
        <charset val="1"/>
      </rPr>
      <t xml:space="preserve">总工期为阶段天数合计</t>
    </r>
    <r>
      <rPr>
        <sz val="10"/>
        <rFont val="Arial"/>
        <family val="0"/>
        <charset val="1"/>
      </rPr>
      <t xml:space="preserve">125</t>
    </r>
    <r>
      <rPr>
        <sz val="10"/>
        <rFont val="Arial Unicode MS"/>
        <family val="2"/>
        <charset val="1"/>
      </rPr>
      <t xml:space="preserve">天（日历跨度</t>
    </r>
    <r>
      <rPr>
        <sz val="10"/>
        <rFont val="Arial"/>
        <family val="0"/>
        <charset val="1"/>
      </rPr>
      <t xml:space="preserve">127</t>
    </r>
    <r>
      <rPr>
        <sz val="10"/>
        <rFont val="Arial Unicode MS"/>
        <family val="2"/>
        <charset val="1"/>
      </rPr>
      <t xml:space="preserve">天）。</t>
    </r>
  </si>
  <si>
    <t xml:space="preserve">五、数据来源与生成信息</t>
  </si>
  <si>
    <r>
      <rPr>
        <sz val="10"/>
        <rFont val="Arial Unicode MS"/>
        <family val="2"/>
        <charset val="1"/>
      </rPr>
      <t xml:space="preserve">需求规格说明书：水务系统需求规格说明书（解析文本 </t>
    </r>
    <r>
      <rPr>
        <sz val="10"/>
        <rFont val="Arial"/>
        <family val="0"/>
        <charset val="1"/>
      </rPr>
      <t xml:space="preserve">data/srs_full.txt</t>
    </r>
    <r>
      <rPr>
        <sz val="10"/>
        <rFont val="Arial Unicode MS"/>
        <family val="2"/>
        <charset val="1"/>
      </rPr>
      <t xml:space="preserve">，</t>
    </r>
    <r>
      <rPr>
        <sz val="10"/>
        <rFont val="Arial"/>
        <family val="0"/>
        <charset val="1"/>
      </rPr>
      <t xml:space="preserve">7</t>
    </r>
    <r>
      <rPr>
        <sz val="10"/>
        <rFont val="Arial Unicode MS"/>
        <family val="2"/>
        <charset val="1"/>
      </rPr>
      <t xml:space="preserve">个一级模块、</t>
    </r>
    <r>
      <rPr>
        <sz val="10"/>
        <rFont val="Arial"/>
        <family val="0"/>
        <charset val="1"/>
      </rPr>
      <t xml:space="preserve">24</t>
    </r>
    <r>
      <rPr>
        <sz val="10"/>
        <rFont val="Arial Unicode MS"/>
        <family val="2"/>
        <charset val="1"/>
      </rPr>
      <t xml:space="preserve">个二级功能、</t>
    </r>
    <r>
      <rPr>
        <sz val="10"/>
        <rFont val="Arial"/>
        <family val="0"/>
        <charset val="1"/>
      </rPr>
      <t xml:space="preserve">3</t>
    </r>
    <r>
      <rPr>
        <sz val="10"/>
        <rFont val="Arial Unicode MS"/>
        <family val="2"/>
        <charset val="1"/>
      </rPr>
      <t xml:space="preserve">个银行代收接口）。</t>
    </r>
  </si>
  <si>
    <r>
      <rPr>
        <sz val="10"/>
        <rFont val="Arial Unicode MS"/>
        <family val="2"/>
        <charset val="1"/>
      </rPr>
      <t xml:space="preserve">项目</t>
    </r>
    <r>
      <rPr>
        <sz val="10"/>
        <rFont val="Arial"/>
        <family val="0"/>
        <charset val="1"/>
      </rPr>
      <t xml:space="preserve">1</t>
    </r>
    <r>
      <rPr>
        <sz val="10"/>
        <rFont val="Arial Unicode MS"/>
        <family val="2"/>
        <charset val="1"/>
      </rPr>
      <t xml:space="preserve">度量数据：项目度量数据表</t>
    </r>
    <r>
      <rPr>
        <sz val="10"/>
        <rFont val="Arial"/>
        <family val="0"/>
        <charset val="1"/>
      </rPr>
      <t xml:space="preserve">-1</t>
    </r>
    <r>
      <rPr>
        <sz val="10"/>
        <rFont val="Arial Unicode MS"/>
        <family val="2"/>
        <charset val="1"/>
      </rPr>
      <t xml:space="preserve">（解析文本 </t>
    </r>
    <r>
      <rPr>
        <sz val="10"/>
        <rFont val="Arial"/>
        <family val="0"/>
        <charset val="1"/>
      </rPr>
      <t xml:space="preserve">data/metrics1_dump.txt</t>
    </r>
    <r>
      <rPr>
        <sz val="10"/>
        <rFont val="Arial Unicode MS"/>
        <family val="2"/>
        <charset val="1"/>
      </rPr>
      <t xml:space="preserve">，项目属性</t>
    </r>
    <r>
      <rPr>
        <sz val="10"/>
        <rFont val="Arial"/>
        <family val="0"/>
        <charset val="1"/>
      </rPr>
      <t xml:space="preserve">/</t>
    </r>
    <r>
      <rPr>
        <sz val="10"/>
        <rFont val="Arial Unicode MS"/>
        <family val="2"/>
        <charset val="1"/>
      </rPr>
      <t xml:space="preserve">规模</t>
    </r>
    <r>
      <rPr>
        <sz val="10"/>
        <rFont val="Arial"/>
        <family val="0"/>
        <charset val="1"/>
      </rPr>
      <t xml:space="preserve">/</t>
    </r>
    <r>
      <rPr>
        <sz val="10"/>
        <rFont val="Arial Unicode MS"/>
        <family val="2"/>
        <charset val="1"/>
      </rPr>
      <t xml:space="preserve">工作量</t>
    </r>
    <r>
      <rPr>
        <sz val="10"/>
        <rFont val="Arial"/>
        <family val="0"/>
        <charset val="1"/>
      </rPr>
      <t xml:space="preserve">/</t>
    </r>
    <r>
      <rPr>
        <sz val="10"/>
        <rFont val="Arial Unicode MS"/>
        <family val="2"/>
        <charset val="1"/>
      </rPr>
      <t xml:space="preserve">进度</t>
    </r>
    <r>
      <rPr>
        <sz val="10"/>
        <rFont val="Arial"/>
        <family val="0"/>
        <charset val="1"/>
      </rPr>
      <t xml:space="preserve">/</t>
    </r>
    <r>
      <rPr>
        <sz val="10"/>
        <rFont val="Arial Unicode MS"/>
        <family val="2"/>
        <charset val="1"/>
      </rPr>
      <t xml:space="preserve">成本</t>
    </r>
    <r>
      <rPr>
        <sz val="10"/>
        <rFont val="Arial"/>
        <family val="0"/>
        <charset val="1"/>
      </rPr>
      <t xml:space="preserve">5</t>
    </r>
    <r>
      <rPr>
        <sz val="10"/>
        <rFont val="Arial Unicode MS"/>
        <family val="2"/>
        <charset val="1"/>
      </rPr>
      <t xml:space="preserve">表）。</t>
    </r>
  </si>
  <si>
    <r>
      <rPr>
        <sz val="10"/>
        <rFont val="Arial Unicode MS"/>
        <family val="2"/>
        <charset val="1"/>
      </rPr>
      <t xml:space="preserve">项目</t>
    </r>
    <r>
      <rPr>
        <sz val="10"/>
        <rFont val="Arial"/>
        <family val="0"/>
        <charset val="1"/>
      </rPr>
      <t xml:space="preserve">2</t>
    </r>
    <r>
      <rPr>
        <sz val="10"/>
        <rFont val="Arial Unicode MS"/>
        <family val="2"/>
        <charset val="1"/>
      </rPr>
      <t xml:space="preserve">度量数据：</t>
    </r>
    <r>
      <rPr>
        <sz val="10"/>
        <rFont val="Arial"/>
        <family val="0"/>
        <charset val="1"/>
      </rPr>
      <t xml:space="preserve">02</t>
    </r>
    <r>
      <rPr>
        <sz val="10"/>
        <rFont val="Arial Unicode MS"/>
        <family val="2"/>
        <charset val="1"/>
      </rPr>
      <t xml:space="preserve">项目度量数据表（解析文本 </t>
    </r>
    <r>
      <rPr>
        <sz val="10"/>
        <rFont val="Arial"/>
        <family val="0"/>
        <charset val="1"/>
      </rPr>
      <t xml:space="preserve">data/metrics2_dump.txt</t>
    </r>
    <r>
      <rPr>
        <sz val="10"/>
        <rFont val="Arial Unicode MS"/>
        <family val="2"/>
        <charset val="1"/>
      </rPr>
      <t xml:space="preserve">，编号</t>
    </r>
    <r>
      <rPr>
        <sz val="10"/>
        <rFont val="Arial"/>
        <family val="0"/>
        <charset val="1"/>
      </rPr>
      <t xml:space="preserve">KSSH-1102 V1.5</t>
    </r>
    <r>
      <rPr>
        <sz val="10"/>
        <rFont val="Arial Unicode MS"/>
        <family val="2"/>
        <charset val="1"/>
      </rPr>
      <t xml:space="preserve">受控，工作量规模效率</t>
    </r>
    <r>
      <rPr>
        <sz val="10"/>
        <rFont val="Arial"/>
        <family val="0"/>
        <charset val="1"/>
      </rPr>
      <t xml:space="preserve">/</t>
    </r>
    <r>
      <rPr>
        <sz val="10"/>
        <rFont val="Arial Unicode MS"/>
        <family val="2"/>
        <charset val="1"/>
      </rPr>
      <t xml:space="preserve">工期</t>
    </r>
    <r>
      <rPr>
        <sz val="10"/>
        <rFont val="Arial"/>
        <family val="0"/>
        <charset val="1"/>
      </rPr>
      <t xml:space="preserve">/</t>
    </r>
    <r>
      <rPr>
        <sz val="10"/>
        <rFont val="Arial Unicode MS"/>
        <family val="2"/>
        <charset val="1"/>
      </rPr>
      <t xml:space="preserve">成本</t>
    </r>
    <r>
      <rPr>
        <sz val="10"/>
        <rFont val="Arial"/>
        <family val="0"/>
        <charset val="1"/>
      </rPr>
      <t xml:space="preserve">/</t>
    </r>
    <r>
      <rPr>
        <sz val="10"/>
        <rFont val="Arial Unicode MS"/>
        <family val="2"/>
        <charset val="1"/>
      </rPr>
      <t xml:space="preserve">缺陷</t>
    </r>
    <r>
      <rPr>
        <sz val="10"/>
        <rFont val="Arial"/>
        <family val="0"/>
        <charset val="1"/>
      </rPr>
      <t xml:space="preserve">4</t>
    </r>
    <r>
      <rPr>
        <sz val="10"/>
        <rFont val="Arial Unicode MS"/>
        <family val="2"/>
        <charset val="1"/>
      </rPr>
      <t xml:space="preserve">表）。</t>
    </r>
  </si>
  <si>
    <r>
      <rPr>
        <sz val="10"/>
        <rFont val="Arial Unicode MS"/>
        <family val="2"/>
        <charset val="1"/>
      </rPr>
      <t xml:space="preserve">分析中间结果：</t>
    </r>
    <r>
      <rPr>
        <sz val="10"/>
        <rFont val="Arial"/>
        <family val="0"/>
        <charset val="1"/>
      </rPr>
      <t xml:space="preserve">data/analysis.json</t>
    </r>
    <r>
      <rPr>
        <sz val="10"/>
        <rFont val="Arial Unicode MS"/>
        <family val="2"/>
        <charset val="1"/>
      </rPr>
      <t xml:space="preserve">。生成日期：</t>
    </r>
    <r>
      <rPr>
        <sz val="10"/>
        <rFont val="Arial"/>
        <family val="0"/>
        <charset val="1"/>
      </rPr>
      <t xml:space="preserve">2026-07-09</t>
    </r>
    <r>
      <rPr>
        <sz val="10"/>
        <rFont val="Arial Unicode MS"/>
        <family val="2"/>
        <charset val="1"/>
      </rPr>
      <t xml:space="preserve">；编制：供水集团科技开发部（需求分析演示项目）。</t>
    </r>
  </si>
  <si>
    <t xml:space="preserve">六、数据质量说明（引用原始数据时请注意）</t>
  </si>
  <si>
    <r>
      <rPr>
        <sz val="10"/>
        <rFont val="Arial"/>
        <family val="0"/>
        <charset val="1"/>
      </rPr>
      <t xml:space="preserve">1. P1</t>
    </r>
    <r>
      <rPr>
        <sz val="10"/>
        <rFont val="Arial Unicode MS"/>
        <family val="2"/>
        <charset val="1"/>
      </rPr>
      <t xml:space="preserve">项目属性表大量空白：项目名称、项目类型、生命周期、项目裁剪、开发语言、系统平台、数据库、项目经理、团队规模、项目目标共</t>
    </r>
    <r>
      <rPr>
        <sz val="10"/>
        <rFont val="Arial"/>
        <family val="0"/>
        <charset val="1"/>
      </rPr>
      <t xml:space="preserve">10</t>
    </r>
    <r>
      <rPr>
        <sz val="10"/>
        <rFont val="Arial Unicode MS"/>
        <family val="2"/>
        <charset val="1"/>
      </rPr>
      <t xml:space="preserve">项均未填写，仅有规模</t>
    </r>
    <r>
      <rPr>
        <sz val="10"/>
        <rFont val="Arial"/>
        <family val="0"/>
        <charset val="1"/>
      </rPr>
      <t xml:space="preserve">/</t>
    </r>
    <r>
      <rPr>
        <sz val="10"/>
        <rFont val="Arial Unicode MS"/>
        <family val="2"/>
        <charset val="1"/>
      </rPr>
      <t xml:space="preserve">工期</t>
    </r>
    <r>
      <rPr>
        <sz val="10"/>
        <rFont val="Arial"/>
        <family val="0"/>
        <charset val="1"/>
      </rPr>
      <t xml:space="preserve">/</t>
    </r>
    <r>
      <rPr>
        <sz val="10"/>
        <rFont val="Arial Unicode MS"/>
        <family val="2"/>
        <charset val="1"/>
      </rPr>
      <t xml:space="preserve">工作量</t>
    </r>
    <r>
      <rPr>
        <sz val="10"/>
        <rFont val="Arial"/>
        <family val="0"/>
        <charset val="1"/>
      </rPr>
      <t xml:space="preserve">/</t>
    </r>
    <r>
      <rPr>
        <sz val="10"/>
        <rFont val="Arial Unicode MS"/>
        <family val="2"/>
        <charset val="1"/>
      </rPr>
      <t xml:space="preserve">生产率</t>
    </r>
    <r>
      <rPr>
        <sz val="10"/>
        <rFont val="Arial"/>
        <family val="0"/>
        <charset val="1"/>
      </rPr>
      <t xml:space="preserve">4</t>
    </r>
    <r>
      <rPr>
        <sz val="10"/>
        <rFont val="Arial Unicode MS"/>
        <family val="2"/>
        <charset val="1"/>
      </rPr>
      <t xml:space="preserve">项实际值</t>
    </r>
  </si>
  <si>
    <r>
      <rPr>
        <sz val="10"/>
        <rFont val="Arial"/>
        <family val="0"/>
        <charset val="1"/>
      </rPr>
      <t xml:space="preserve">2. P1</t>
    </r>
    <r>
      <rPr>
        <sz val="10"/>
        <rFont val="Arial Unicode MS"/>
        <family val="2"/>
        <charset val="1"/>
      </rPr>
      <t xml:space="preserve">进度表编码阶段实际完成</t>
    </r>
    <r>
      <rPr>
        <sz val="10"/>
        <rFont val="Arial"/>
        <family val="0"/>
        <charset val="1"/>
      </rPr>
      <t xml:space="preserve">2025-05-14</t>
    </r>
    <r>
      <rPr>
        <sz val="10"/>
        <rFont val="Arial Unicode MS"/>
        <family val="2"/>
        <charset val="1"/>
      </rPr>
      <t xml:space="preserve">晚于计划</t>
    </r>
    <r>
      <rPr>
        <sz val="10"/>
        <rFont val="Arial"/>
        <family val="0"/>
        <charset val="1"/>
      </rPr>
      <t xml:space="preserve">2025-05-13</t>
    </r>
    <r>
      <rPr>
        <sz val="10"/>
        <rFont val="Arial Unicode MS"/>
        <family val="2"/>
        <charset val="1"/>
      </rPr>
      <t xml:space="preserve">一天，但实际完成天数仍记</t>
    </r>
    <r>
      <rPr>
        <sz val="10"/>
        <rFont val="Arial"/>
        <family val="0"/>
        <charset val="1"/>
      </rPr>
      <t xml:space="preserve">61</t>
    </r>
    <r>
      <rPr>
        <sz val="10"/>
        <rFont val="Arial Unicode MS"/>
        <family val="2"/>
        <charset val="1"/>
      </rPr>
      <t xml:space="preserve">天、偏差天数记</t>
    </r>
    <r>
      <rPr>
        <sz val="10"/>
        <rFont val="Arial"/>
        <family val="0"/>
        <charset val="1"/>
      </rPr>
      <t xml:space="preserve">0</t>
    </r>
    <r>
      <rPr>
        <sz val="10"/>
        <rFont val="Arial Unicode MS"/>
        <family val="2"/>
        <charset val="1"/>
      </rPr>
      <t xml:space="preserve">；且计划完成天数</t>
    </r>
    <r>
      <rPr>
        <sz val="10"/>
        <rFont val="Arial"/>
        <family val="0"/>
        <charset val="1"/>
      </rPr>
      <t xml:space="preserve">61</t>
    </r>
    <r>
      <rPr>
        <sz val="10"/>
        <rFont val="Arial Unicode MS"/>
        <family val="2"/>
        <charset val="1"/>
      </rPr>
      <t xml:space="preserve">与计划日期差不符（</t>
    </r>
    <r>
      <rPr>
        <sz val="10"/>
        <rFont val="Arial"/>
        <family val="0"/>
        <charset val="1"/>
      </rPr>
      <t xml:space="preserve">2025-03-14</t>
    </r>
    <r>
      <rPr>
        <sz val="10"/>
        <rFont val="Arial Unicode MS"/>
        <family val="2"/>
        <charset val="1"/>
      </rPr>
      <t xml:space="preserve">至</t>
    </r>
    <r>
      <rPr>
        <sz val="10"/>
        <rFont val="Arial"/>
        <family val="0"/>
        <charset val="1"/>
      </rPr>
      <t xml:space="preserve">05-13</t>
    </r>
    <r>
      <rPr>
        <sz val="10"/>
        <rFont val="Arial Unicode MS"/>
        <family val="2"/>
        <charset val="1"/>
      </rPr>
      <t xml:space="preserve">按日差为</t>
    </r>
    <r>
      <rPr>
        <sz val="10"/>
        <rFont val="Arial"/>
        <family val="0"/>
        <charset val="1"/>
      </rPr>
      <t xml:space="preserve">60</t>
    </r>
    <r>
      <rPr>
        <sz val="10"/>
        <rFont val="Arial Unicode MS"/>
        <family val="2"/>
        <charset val="1"/>
      </rPr>
      <t xml:space="preserve">天），恰等于实际日期差（</t>
    </r>
    <r>
      <rPr>
        <sz val="10"/>
        <rFont val="Arial"/>
        <family val="0"/>
        <charset val="1"/>
      </rPr>
      <t xml:space="preserve">03-14</t>
    </r>
    <r>
      <rPr>
        <sz val="10"/>
        <rFont val="Arial Unicode MS"/>
        <family val="2"/>
        <charset val="1"/>
      </rPr>
      <t xml:space="preserve">至</t>
    </r>
    <r>
      <rPr>
        <sz val="10"/>
        <rFont val="Arial"/>
        <family val="0"/>
        <charset val="1"/>
      </rPr>
      <t xml:space="preserve">05-14</t>
    </r>
    <r>
      <rPr>
        <sz val="10"/>
        <rFont val="Arial Unicode MS"/>
        <family val="2"/>
        <charset val="1"/>
      </rPr>
      <t xml:space="preserve">为</t>
    </r>
    <r>
      <rPr>
        <sz val="10"/>
        <rFont val="Arial"/>
        <family val="0"/>
        <charset val="1"/>
      </rPr>
      <t xml:space="preserve">61</t>
    </r>
    <r>
      <rPr>
        <sz val="10"/>
        <rFont val="Arial Unicode MS"/>
        <family val="2"/>
        <charset val="1"/>
      </rPr>
      <t xml:space="preserve">天），疑按实际日期回填计划天数、抹平偏差；测试阶段实际开始</t>
    </r>
    <r>
      <rPr>
        <sz val="10"/>
        <rFont val="Arial"/>
        <family val="0"/>
        <charset val="1"/>
      </rPr>
      <t xml:space="preserve">05-14</t>
    </r>
    <r>
      <rPr>
        <sz val="10"/>
        <rFont val="Arial Unicode MS"/>
        <family val="2"/>
        <charset val="1"/>
      </rPr>
      <t xml:space="preserve">相应顺延亦记</t>
    </r>
    <r>
      <rPr>
        <sz val="10"/>
        <rFont val="Arial"/>
        <family val="0"/>
        <charset val="1"/>
      </rPr>
      <t xml:space="preserve">0</t>
    </r>
    <r>
      <rPr>
        <sz val="10"/>
        <rFont val="Arial Unicode MS"/>
        <family val="2"/>
        <charset val="1"/>
      </rPr>
      <t xml:space="preserve">偏差</t>
    </r>
  </si>
  <si>
    <r>
      <rPr>
        <sz val="10"/>
        <rFont val="Arial"/>
        <family val="0"/>
        <charset val="1"/>
      </rPr>
      <t xml:space="preserve">3. P1</t>
    </r>
    <r>
      <rPr>
        <sz val="10"/>
        <rFont val="Arial Unicode MS"/>
        <family val="2"/>
        <charset val="1"/>
      </rPr>
      <t xml:space="preserve">进度全部阶段偏差率记</t>
    </r>
    <r>
      <rPr>
        <sz val="10"/>
        <rFont val="Arial"/>
        <family val="0"/>
        <charset val="1"/>
      </rPr>
      <t xml:space="preserve">0</t>
    </r>
    <r>
      <rPr>
        <sz val="10"/>
        <rFont val="Arial Unicode MS"/>
        <family val="2"/>
        <charset val="1"/>
      </rPr>
      <t xml:space="preserve">，与编码阶段实际存在</t>
    </r>
    <r>
      <rPr>
        <sz val="10"/>
        <rFont val="Arial"/>
        <family val="0"/>
        <charset val="1"/>
      </rPr>
      <t xml:space="preserve">1</t>
    </r>
    <r>
      <rPr>
        <sz val="10"/>
        <rFont val="Arial Unicode MS"/>
        <family val="2"/>
        <charset val="1"/>
      </rPr>
      <t xml:space="preserve">天延误矛盾，整体进度数据可信度存疑</t>
    </r>
  </si>
  <si>
    <r>
      <rPr>
        <sz val="10"/>
        <rFont val="Arial"/>
        <family val="0"/>
        <charset val="1"/>
      </rPr>
      <t xml:space="preserve">4. P1</t>
    </r>
    <r>
      <rPr>
        <sz val="10"/>
        <rFont val="Arial Unicode MS"/>
        <family val="2"/>
        <charset val="1"/>
      </rPr>
      <t xml:space="preserve">规模表验收结项阶段无估算值（实际</t>
    </r>
    <r>
      <rPr>
        <sz val="10"/>
        <rFont val="Arial"/>
        <family val="0"/>
        <charset val="1"/>
      </rPr>
      <t xml:space="preserve">256FP</t>
    </r>
    <r>
      <rPr>
        <sz val="10"/>
        <rFont val="Arial Unicode MS"/>
        <family val="2"/>
        <charset val="1"/>
      </rPr>
      <t xml:space="preserve">），偏差率空缺；测试阶段估算</t>
    </r>
    <r>
      <rPr>
        <sz val="10"/>
        <rFont val="Arial"/>
        <family val="0"/>
        <charset val="1"/>
      </rPr>
      <t xml:space="preserve">187FP</t>
    </r>
    <r>
      <rPr>
        <sz val="10"/>
        <rFont val="Arial Unicode MS"/>
        <family val="2"/>
        <charset val="1"/>
      </rPr>
      <t xml:space="preserve">与最终实际</t>
    </r>
    <r>
      <rPr>
        <sz val="10"/>
        <rFont val="Arial"/>
        <family val="0"/>
        <charset val="1"/>
      </rPr>
      <t xml:space="preserve">256FP</t>
    </r>
    <r>
      <rPr>
        <sz val="10"/>
        <rFont val="Arial Unicode MS"/>
        <family val="2"/>
        <charset val="1"/>
      </rPr>
      <t xml:space="preserve">相差</t>
    </r>
    <r>
      <rPr>
        <sz val="10"/>
        <rFont val="Arial"/>
        <family val="0"/>
        <charset val="1"/>
      </rPr>
      <t xml:space="preserve">69FP</t>
    </r>
    <r>
      <rPr>
        <sz val="10"/>
        <rFont val="Arial Unicode MS"/>
        <family val="2"/>
        <charset val="1"/>
      </rPr>
      <t xml:space="preserve">（约</t>
    </r>
    <r>
      <rPr>
        <sz val="10"/>
        <rFont val="Arial"/>
        <family val="0"/>
        <charset val="1"/>
      </rPr>
      <t xml:space="preserve">+27%</t>
    </r>
    <r>
      <rPr>
        <sz val="10"/>
        <rFont val="Arial Unicode MS"/>
        <family val="2"/>
        <charset val="1"/>
      </rPr>
      <t xml:space="preserve">），前期估算口径与最终功能点口径可能不一致</t>
    </r>
  </si>
  <si>
    <r>
      <rPr>
        <sz val="10"/>
        <rFont val="Arial"/>
        <family val="0"/>
        <charset val="1"/>
      </rPr>
      <t xml:space="preserve">5. P1</t>
    </r>
    <r>
      <rPr>
        <sz val="10"/>
        <rFont val="Arial Unicode MS"/>
        <family val="2"/>
        <charset val="1"/>
      </rPr>
      <t xml:space="preserve">成本表估算与实际的偏差率全部为负且高度一致：策划</t>
    </r>
    <r>
      <rPr>
        <sz val="10"/>
        <rFont val="Arial"/>
        <family val="0"/>
        <charset val="1"/>
      </rPr>
      <t xml:space="preserve">/</t>
    </r>
    <r>
      <rPr>
        <sz val="10"/>
        <rFont val="Arial Unicode MS"/>
        <family val="2"/>
        <charset val="1"/>
      </rPr>
      <t xml:space="preserve">设计</t>
    </r>
    <r>
      <rPr>
        <sz val="10"/>
        <rFont val="Arial"/>
        <family val="0"/>
        <charset val="1"/>
      </rPr>
      <t xml:space="preserve">/</t>
    </r>
    <r>
      <rPr>
        <sz val="10"/>
        <rFont val="Arial Unicode MS"/>
        <family val="2"/>
        <charset val="1"/>
      </rPr>
      <t xml:space="preserve">测试</t>
    </r>
    <r>
      <rPr>
        <sz val="10"/>
        <rFont val="Arial"/>
        <family val="0"/>
        <charset val="1"/>
      </rPr>
      <t xml:space="preserve">/</t>
    </r>
    <r>
      <rPr>
        <sz val="10"/>
        <rFont val="Arial Unicode MS"/>
        <family val="2"/>
        <charset val="1"/>
      </rPr>
      <t xml:space="preserve">验收四个里程碑偏差率完全相同（</t>
    </r>
    <r>
      <rPr>
        <sz val="10"/>
        <rFont val="Arial"/>
        <family val="0"/>
        <charset val="1"/>
      </rPr>
      <t xml:space="preserve">-0.04266</t>
    </r>
    <r>
      <rPr>
        <sz val="10"/>
        <rFont val="Arial Unicode MS"/>
        <family val="2"/>
        <charset val="1"/>
      </rPr>
      <t xml:space="preserve">，折算系数</t>
    </r>
    <r>
      <rPr>
        <sz val="10"/>
        <rFont val="Arial"/>
        <family val="0"/>
        <charset val="1"/>
      </rPr>
      <t xml:space="preserve">0.95734</t>
    </r>
    <r>
      <rPr>
        <sz val="10"/>
        <rFont val="Arial Unicode MS"/>
        <family val="2"/>
        <charset val="1"/>
      </rPr>
      <t xml:space="preserve">），需求</t>
    </r>
    <r>
      <rPr>
        <sz val="10"/>
        <rFont val="Arial"/>
        <family val="0"/>
        <charset val="1"/>
      </rPr>
      <t xml:space="preserve">/</t>
    </r>
    <r>
      <rPr>
        <sz val="10"/>
        <rFont val="Arial Unicode MS"/>
        <family val="2"/>
        <charset val="1"/>
      </rPr>
      <t xml:space="preserve">开发两个里程碑完全相同（</t>
    </r>
    <r>
      <rPr>
        <sz val="10"/>
        <rFont val="Arial"/>
        <family val="0"/>
        <charset val="1"/>
      </rPr>
      <t xml:space="preserve">-0.04571</t>
    </r>
    <r>
      <rPr>
        <sz val="10"/>
        <rFont val="Arial Unicode MS"/>
        <family val="2"/>
        <charset val="1"/>
      </rPr>
      <t xml:space="preserve">，折算系数</t>
    </r>
    <r>
      <rPr>
        <sz val="10"/>
        <rFont val="Arial"/>
        <family val="0"/>
        <charset val="1"/>
      </rPr>
      <t xml:space="preserve">0.95429</t>
    </r>
    <r>
      <rPr>
        <sz val="10"/>
        <rFont val="Arial Unicode MS"/>
        <family val="2"/>
        <charset val="1"/>
      </rPr>
      <t xml:space="preserve">），且估算成本呈对称分布（策划</t>
    </r>
    <r>
      <rPr>
        <sz val="10"/>
        <rFont val="Arial"/>
        <family val="0"/>
        <charset val="1"/>
      </rPr>
      <t xml:space="preserve">=</t>
    </r>
    <r>
      <rPr>
        <sz val="10"/>
        <rFont val="Arial Unicode MS"/>
        <family val="2"/>
        <charset val="1"/>
      </rPr>
      <t xml:space="preserve">验收、需求</t>
    </r>
    <r>
      <rPr>
        <sz val="10"/>
        <rFont val="Arial"/>
        <family val="0"/>
        <charset val="1"/>
      </rPr>
      <t xml:space="preserve">=</t>
    </r>
    <r>
      <rPr>
        <sz val="10"/>
        <rFont val="Arial Unicode MS"/>
        <family val="2"/>
        <charset val="1"/>
      </rPr>
      <t xml:space="preserve">开发、设计</t>
    </r>
    <r>
      <rPr>
        <sz val="10"/>
        <rFont val="Arial"/>
        <family val="0"/>
        <charset val="1"/>
      </rPr>
      <t xml:space="preserve">=</t>
    </r>
    <r>
      <rPr>
        <sz val="10"/>
        <rFont val="Arial Unicode MS"/>
        <family val="2"/>
        <charset val="1"/>
      </rPr>
      <t xml:space="preserve">测试），实际成本疑似按统一比例由估算折算而非实采</t>
    </r>
  </si>
  <si>
    <r>
      <rPr>
        <sz val="10"/>
        <rFont val="Arial"/>
        <family val="0"/>
        <charset val="1"/>
      </rPr>
      <t xml:space="preserve">6. P1</t>
    </r>
    <r>
      <rPr>
        <sz val="10"/>
        <rFont val="Arial Unicode MS"/>
        <family val="2"/>
        <charset val="1"/>
      </rPr>
      <t xml:space="preserve">工作量表估计值有「策划阶段」「需求阶段」两列，偏差率以需求阶段估计值为基准计算，使用时需注意基准选择</t>
    </r>
  </si>
  <si>
    <r>
      <rPr>
        <sz val="10"/>
        <rFont val="Arial"/>
        <family val="0"/>
        <charset val="1"/>
      </rPr>
      <t xml:space="preserve">7. P1</t>
    </r>
    <r>
      <rPr>
        <sz val="10"/>
        <rFont val="Arial Unicode MS"/>
        <family val="2"/>
        <charset val="1"/>
      </rPr>
      <t xml:space="preserve">属性表记载实际工期</t>
    </r>
    <r>
      <rPr>
        <sz val="10"/>
        <rFont val="Arial"/>
        <family val="0"/>
        <charset val="1"/>
      </rPr>
      <t xml:space="preserve">2025-02-24~06-30</t>
    </r>
    <r>
      <rPr>
        <sz val="10"/>
        <rFont val="Arial Unicode MS"/>
        <family val="2"/>
        <charset val="1"/>
      </rPr>
      <t xml:space="preserve">（日历</t>
    </r>
    <r>
      <rPr>
        <sz val="10"/>
        <rFont val="Arial"/>
        <family val="0"/>
        <charset val="1"/>
      </rPr>
      <t xml:space="preserve">127</t>
    </r>
    <r>
      <rPr>
        <sz val="10"/>
        <rFont val="Arial Unicode MS"/>
        <family val="2"/>
        <charset val="1"/>
      </rPr>
      <t xml:space="preserve">天），而进度表各阶段实际天数合计</t>
    </r>
    <r>
      <rPr>
        <sz val="10"/>
        <rFont val="Arial"/>
        <family val="0"/>
        <charset val="1"/>
      </rPr>
      <t xml:space="preserve">125</t>
    </r>
    <r>
      <rPr>
        <sz val="10"/>
        <rFont val="Arial Unicode MS"/>
        <family val="2"/>
        <charset val="1"/>
      </rPr>
      <t xml:space="preserve">天（相邻阶段边界日重叠计法），两口径差</t>
    </r>
    <r>
      <rPr>
        <sz val="10"/>
        <rFont val="Arial"/>
        <family val="0"/>
        <charset val="1"/>
      </rPr>
      <t xml:space="preserve">2</t>
    </r>
    <r>
      <rPr>
        <sz val="10"/>
        <rFont val="Arial Unicode MS"/>
        <family val="2"/>
        <charset val="1"/>
      </rPr>
      <t xml:space="preserve">天</t>
    </r>
  </si>
  <si>
    <r>
      <rPr>
        <sz val="10"/>
        <rFont val="Arial"/>
        <family val="0"/>
        <charset val="1"/>
      </rPr>
      <t xml:space="preserve">8. P2</t>
    </r>
    <r>
      <rPr>
        <sz val="10"/>
        <rFont val="Arial Unicode MS"/>
        <family val="2"/>
        <charset val="1"/>
      </rPr>
      <t xml:space="preserve">无项目属性表，项目名称、项目经理、团队规模等基本信息缺失，仅有文档编号</t>
    </r>
    <r>
      <rPr>
        <sz val="10"/>
        <rFont val="Arial"/>
        <family val="0"/>
        <charset val="1"/>
      </rPr>
      <t xml:space="preserve">KSSH-1102</t>
    </r>
    <r>
      <rPr>
        <sz val="10"/>
        <rFont val="Arial Unicode MS"/>
        <family val="2"/>
        <charset val="1"/>
      </rPr>
      <t xml:space="preserve">、受控状态与版本</t>
    </r>
    <r>
      <rPr>
        <sz val="10"/>
        <rFont val="Arial"/>
        <family val="0"/>
        <charset val="1"/>
      </rPr>
      <t xml:space="preserve">V1.5</t>
    </r>
  </si>
  <si>
    <r>
      <rPr>
        <sz val="10"/>
        <rFont val="Arial"/>
        <family val="0"/>
        <charset val="1"/>
      </rPr>
      <t xml:space="preserve">9. P2</t>
    </r>
    <r>
      <rPr>
        <sz val="10"/>
        <rFont val="Arial Unicode MS"/>
        <family val="2"/>
        <charset val="1"/>
      </rPr>
      <t xml:space="preserve">成本表「结果」栏文字为「各阶段工期偏差满足控制范围，总工期偏差率满足目标范围」，描述对象是工期而非成本，疑为从工期表复制粘贴的笔误</t>
    </r>
  </si>
  <si>
    <r>
      <rPr>
        <sz val="10"/>
        <rFont val="Arial"/>
        <family val="0"/>
        <charset val="1"/>
      </rPr>
      <t xml:space="preserve">10. P2</t>
    </r>
    <r>
      <rPr>
        <sz val="10"/>
        <rFont val="Arial Unicode MS"/>
        <family val="2"/>
        <charset val="1"/>
      </rPr>
      <t xml:space="preserve">计划成本恰等于计划工作量</t>
    </r>
    <r>
      <rPr>
        <sz val="10"/>
        <rFont val="Arial"/>
        <family val="0"/>
        <charset val="1"/>
      </rPr>
      <t xml:space="preserve">×1200</t>
    </r>
    <r>
      <rPr>
        <sz val="10"/>
        <rFont val="Arial Unicode MS"/>
        <family val="2"/>
        <charset val="1"/>
      </rPr>
      <t xml:space="preserve">元</t>
    </r>
    <r>
      <rPr>
        <sz val="10"/>
        <rFont val="Arial"/>
        <family val="0"/>
        <charset val="1"/>
      </rPr>
      <t xml:space="preserve">/</t>
    </r>
    <r>
      <rPr>
        <sz val="10"/>
        <rFont val="Arial Unicode MS"/>
        <family val="2"/>
        <charset val="1"/>
      </rPr>
      <t xml:space="preserve">人天（如立项计划</t>
    </r>
    <r>
      <rPr>
        <sz val="10"/>
        <rFont val="Arial"/>
        <family val="0"/>
        <charset val="1"/>
      </rPr>
      <t xml:space="preserve">29.35520882×1200=35226.250584</t>
    </r>
    <r>
      <rPr>
        <sz val="10"/>
        <rFont val="Arial Unicode MS"/>
        <family val="2"/>
        <charset val="1"/>
      </rPr>
      <t xml:space="preserve">），为纯推导值而非独立估算；实际成本则为独立采集值</t>
    </r>
  </si>
  <si>
    <r>
      <rPr>
        <sz val="10"/>
        <rFont val="Arial"/>
        <family val="0"/>
        <charset val="1"/>
      </rPr>
      <t xml:space="preserve">11. P2</t>
    </r>
    <r>
      <rPr>
        <sz val="10"/>
        <rFont val="Arial Unicode MS"/>
        <family val="2"/>
        <charset val="1"/>
      </rPr>
      <t xml:space="preserve">立项计划阶段的工作量累计偏差率与成本累计偏差率完全相同（</t>
    </r>
    <r>
      <rPr>
        <sz val="10"/>
        <rFont val="Arial"/>
        <family val="0"/>
        <charset val="1"/>
      </rPr>
      <t xml:space="preserve">0.0560306414471624</t>
    </r>
    <r>
      <rPr>
        <sz val="10"/>
        <rFont val="Arial Unicode MS"/>
        <family val="2"/>
        <charset val="1"/>
      </rPr>
      <t xml:space="preserve">），因立项阶段实际成本恰</t>
    </r>
    <r>
      <rPr>
        <sz val="10"/>
        <rFont val="Arial"/>
        <family val="0"/>
        <charset val="1"/>
      </rPr>
      <t xml:space="preserve">=</t>
    </r>
    <r>
      <rPr>
        <sz val="10"/>
        <rFont val="Arial Unicode MS"/>
        <family val="2"/>
        <charset val="1"/>
      </rPr>
      <t xml:space="preserve">实际工作量</t>
    </r>
    <r>
      <rPr>
        <sz val="10"/>
        <rFont val="Arial"/>
        <family val="0"/>
        <charset val="1"/>
      </rPr>
      <t xml:space="preserve">×1200</t>
    </r>
    <r>
      <rPr>
        <sz val="10"/>
        <rFont val="Arial Unicode MS"/>
        <family val="2"/>
        <charset val="1"/>
      </rPr>
      <t xml:space="preserve">，后续阶段两者分离</t>
    </r>
  </si>
  <si>
    <r>
      <rPr>
        <sz val="10"/>
        <rFont val="Arial"/>
        <family val="0"/>
        <charset val="1"/>
      </rPr>
      <t xml:space="preserve">12. P2</t>
    </r>
    <r>
      <rPr>
        <sz val="10"/>
        <rFont val="Arial Unicode MS"/>
        <family val="2"/>
        <charset val="1"/>
      </rPr>
      <t xml:space="preserve">工期表</t>
    </r>
    <r>
      <rPr>
        <sz val="10"/>
        <rFont val="Arial"/>
        <family val="0"/>
        <charset val="1"/>
      </rPr>
      <t xml:space="preserve">O</t>
    </r>
    <r>
      <rPr>
        <sz val="10"/>
        <rFont val="Arial Unicode MS"/>
        <family val="2"/>
        <charset val="1"/>
      </rPr>
      <t xml:space="preserve">列之后为</t>
    </r>
    <r>
      <rPr>
        <sz val="10"/>
        <rFont val="Arial"/>
        <family val="0"/>
        <charset val="1"/>
      </rPr>
      <t xml:space="preserve">2022~2025</t>
    </r>
    <r>
      <rPr>
        <sz val="10"/>
        <rFont val="Arial Unicode MS"/>
        <family val="2"/>
        <charset val="1"/>
      </rPr>
      <t xml:space="preserve">年节假日辅助数据（用于工作日计算），已按要求忽略；工期为工作日口径，与日历跨度（计划</t>
    </r>
    <r>
      <rPr>
        <sz val="10"/>
        <rFont val="Arial"/>
        <family val="0"/>
        <charset val="1"/>
      </rPr>
      <t xml:space="preserve">189</t>
    </r>
    <r>
      <rPr>
        <sz val="10"/>
        <rFont val="Arial Unicode MS"/>
        <family val="2"/>
        <charset val="1"/>
      </rPr>
      <t xml:space="preserve">天</t>
    </r>
    <r>
      <rPr>
        <sz val="10"/>
        <rFont val="Arial"/>
        <family val="0"/>
        <charset val="1"/>
      </rPr>
      <t xml:space="preserve">/</t>
    </r>
    <r>
      <rPr>
        <sz val="10"/>
        <rFont val="Arial Unicode MS"/>
        <family val="2"/>
        <charset val="1"/>
      </rPr>
      <t xml:space="preserve">实际</t>
    </r>
    <r>
      <rPr>
        <sz val="10"/>
        <rFont val="Arial"/>
        <family val="0"/>
        <charset val="1"/>
      </rPr>
      <t xml:space="preserve">202</t>
    </r>
    <r>
      <rPr>
        <sz val="10"/>
        <rFont val="Arial Unicode MS"/>
        <family val="2"/>
        <charset val="1"/>
      </rPr>
      <t xml:space="preserve">天）不同</t>
    </r>
  </si>
  <si>
    <r>
      <rPr>
        <sz val="10"/>
        <rFont val="Arial"/>
        <family val="0"/>
        <charset val="1"/>
      </rPr>
      <t xml:space="preserve">13. P2</t>
    </r>
    <r>
      <rPr>
        <sz val="10"/>
        <rFont val="Arial Unicode MS"/>
        <family val="2"/>
        <charset val="1"/>
      </rPr>
      <t xml:space="preserve">缺陷表仅集成与系统测试行给出缺陷探测率</t>
    </r>
    <r>
      <rPr>
        <sz val="10"/>
        <rFont val="Arial"/>
        <family val="0"/>
        <charset val="1"/>
      </rPr>
      <t xml:space="preserve">0.7846</t>
    </r>
    <r>
      <rPr>
        <sz val="10"/>
        <rFont val="Arial Unicode MS"/>
        <family val="2"/>
        <charset val="1"/>
      </rPr>
      <t xml:space="preserve">，验收测试与总计行探测率空缺；评审缺陷结果文字称评审效率</t>
    </r>
    <r>
      <rPr>
        <sz val="10"/>
        <rFont val="Arial"/>
        <family val="0"/>
        <charset val="1"/>
      </rPr>
      <t xml:space="preserve">0.76</t>
    </r>
    <r>
      <rPr>
        <sz val="10"/>
        <rFont val="Arial Unicode MS"/>
        <family val="2"/>
        <charset val="1"/>
      </rPr>
      <t xml:space="preserve">，实际计算值为</t>
    </r>
    <r>
      <rPr>
        <sz val="10"/>
        <rFont val="Arial"/>
        <family val="0"/>
        <charset val="1"/>
      </rPr>
      <t xml:space="preserve">0.757575757575758</t>
    </r>
  </si>
  <si>
    <r>
      <rPr>
        <sz val="10"/>
        <rFont val="Arial"/>
        <family val="0"/>
        <charset val="1"/>
      </rPr>
      <t xml:space="preserve">14. P2</t>
    </r>
    <r>
      <rPr>
        <sz val="10"/>
        <rFont val="Arial Unicode MS"/>
        <family val="2"/>
        <charset val="1"/>
      </rPr>
      <t xml:space="preserve">工期总计行的「计划总工期</t>
    </r>
    <r>
      <rPr>
        <sz val="10"/>
        <rFont val="Arial"/>
        <family val="0"/>
        <charset val="1"/>
      </rPr>
      <t xml:space="preserve">/</t>
    </r>
    <r>
      <rPr>
        <sz val="10"/>
        <rFont val="Arial Unicode MS"/>
        <family val="2"/>
        <charset val="1"/>
      </rPr>
      <t xml:space="preserve">实际总工期」单元格为表头文字无数值，总工期</t>
    </r>
    <r>
      <rPr>
        <sz val="10"/>
        <rFont val="Arial"/>
        <family val="0"/>
        <charset val="1"/>
      </rPr>
      <t xml:space="preserve">121/130</t>
    </r>
    <r>
      <rPr>
        <sz val="10"/>
        <rFont val="Arial Unicode MS"/>
        <family val="2"/>
        <charset val="1"/>
      </rPr>
      <t xml:space="preserve">天取自累计列，总计行偏差率取交付验收阶段累计值</t>
    </r>
  </si>
  <si>
    <r>
      <rPr>
        <b val="true"/>
        <sz val="12"/>
        <color rgb="FF1F4E79"/>
        <rFont val="Arial Unicode MS"/>
        <family val="2"/>
        <charset val="1"/>
      </rPr>
      <t xml:space="preserve">监控阈值参数（本表蓝字均可修改，修改后 </t>
    </r>
    <r>
      <rPr>
        <b val="true"/>
        <sz val="12"/>
        <color rgb="FF1F4E79"/>
        <rFont val="Arial"/>
        <family val="0"/>
        <charset val="1"/>
      </rPr>
      <t xml:space="preserve">02/03/05 </t>
    </r>
    <r>
      <rPr>
        <b val="true"/>
        <sz val="12"/>
        <color rgb="FF1F4E79"/>
        <rFont val="Arial Unicode MS"/>
        <family val="2"/>
        <charset val="1"/>
      </rPr>
      <t xml:space="preserve">各表自动联动）</t>
    </r>
  </si>
  <si>
    <r>
      <rPr>
        <i val="true"/>
        <sz val="9"/>
        <color rgb="FF808080"/>
        <rFont val="Arial Unicode MS"/>
        <family val="2"/>
        <charset val="1"/>
      </rPr>
      <t xml:space="preserve">蓝字</t>
    </r>
    <r>
      <rPr>
        <i val="true"/>
        <sz val="9"/>
        <color rgb="FF808080"/>
        <rFont val="Arial"/>
        <family val="0"/>
        <charset val="1"/>
      </rPr>
      <t xml:space="preserve">=</t>
    </r>
    <r>
      <rPr>
        <i val="true"/>
        <sz val="9"/>
        <color rgb="FF808080"/>
        <rFont val="Arial Unicode MS"/>
        <family val="2"/>
        <charset val="1"/>
      </rPr>
      <t xml:space="preserve">输入；其余表通过 </t>
    </r>
    <r>
      <rPr>
        <i val="true"/>
        <sz val="9"/>
        <color rgb="FF808080"/>
        <rFont val="Arial"/>
        <family val="0"/>
        <charset val="1"/>
      </rPr>
      <t xml:space="preserve">='01</t>
    </r>
    <r>
      <rPr>
        <i val="true"/>
        <sz val="9"/>
        <color rgb="FF808080"/>
        <rFont val="Arial Unicode MS"/>
        <family val="2"/>
        <charset val="1"/>
      </rPr>
      <t xml:space="preserve">参数</t>
    </r>
    <r>
      <rPr>
        <i val="true"/>
        <sz val="9"/>
        <color rgb="FF808080"/>
        <rFont val="Arial"/>
        <family val="0"/>
        <charset val="1"/>
      </rPr>
      <t xml:space="preserve">'!$C$n </t>
    </r>
    <r>
      <rPr>
        <i val="true"/>
        <sz val="9"/>
        <color rgb="FF808080"/>
        <rFont val="Arial Unicode MS"/>
        <family val="2"/>
        <charset val="1"/>
      </rPr>
      <t xml:space="preserve">引用本表。</t>
    </r>
  </si>
  <si>
    <t xml:space="preserve">参数名称</t>
  </si>
  <si>
    <t xml:space="preserve">符号</t>
  </si>
  <si>
    <t xml:space="preserve">数值</t>
  </si>
  <si>
    <r>
      <rPr>
        <b val="true"/>
        <sz val="10"/>
        <color rgb="FFFFFFFF"/>
        <rFont val="Arial Unicode MS"/>
        <family val="2"/>
        <charset val="1"/>
      </rPr>
      <t xml:space="preserve">判定方向</t>
    </r>
    <r>
      <rPr>
        <b val="true"/>
        <sz val="10"/>
        <color rgb="FFFFFFFF"/>
        <rFont val="Arial"/>
        <family val="0"/>
        <charset val="1"/>
      </rPr>
      <t xml:space="preserve">/</t>
    </r>
    <r>
      <rPr>
        <b val="true"/>
        <sz val="10"/>
        <color rgb="FFFFFFFF"/>
        <rFont val="Arial Unicode MS"/>
        <family val="2"/>
        <charset val="1"/>
      </rPr>
      <t xml:space="preserve">口径</t>
    </r>
  </si>
  <si>
    <t xml:space="preserve">默认值</t>
  </si>
  <si>
    <t xml:space="preserve">说明</t>
  </si>
  <si>
    <t xml:space="preserve">工作量偏差控制范围</t>
  </si>
  <si>
    <t xml:space="preserve">thr_effort</t>
  </si>
  <si>
    <r>
      <rPr>
        <sz val="10"/>
        <rFont val="Arial"/>
        <family val="0"/>
        <charset val="1"/>
      </rPr>
      <t xml:space="preserve">|</t>
    </r>
    <r>
      <rPr>
        <sz val="10"/>
        <rFont val="Arial Unicode MS"/>
        <family val="2"/>
        <charset val="1"/>
      </rPr>
      <t xml:space="preserve">偏差率</t>
    </r>
    <r>
      <rPr>
        <sz val="10"/>
        <rFont val="Arial"/>
        <family val="0"/>
        <charset val="1"/>
      </rPr>
      <t xml:space="preserve">|≤</t>
    </r>
    <r>
      <rPr>
        <sz val="10"/>
        <rFont val="Arial Unicode MS"/>
        <family val="2"/>
        <charset val="1"/>
      </rPr>
      <t xml:space="preserve">阈值</t>
    </r>
  </si>
  <si>
    <t xml:space="preserve">±15%</t>
  </si>
  <si>
    <t xml:space="preserve">实际总工作量相对估计值的允许偏差</t>
  </si>
  <si>
    <r>
      <rPr>
        <sz val="10"/>
        <rFont val="Arial Unicode MS"/>
        <family val="2"/>
        <charset val="1"/>
      </rPr>
      <t xml:space="preserve">工期</t>
    </r>
    <r>
      <rPr>
        <sz val="10"/>
        <rFont val="Arial"/>
        <family val="0"/>
        <charset val="1"/>
      </rPr>
      <t xml:space="preserve">(</t>
    </r>
    <r>
      <rPr>
        <sz val="10"/>
        <rFont val="Arial Unicode MS"/>
        <family val="2"/>
        <charset val="1"/>
      </rPr>
      <t xml:space="preserve">进度</t>
    </r>
    <r>
      <rPr>
        <sz val="10"/>
        <rFont val="Arial"/>
        <family val="0"/>
        <charset val="1"/>
      </rPr>
      <t xml:space="preserve">)</t>
    </r>
    <r>
      <rPr>
        <sz val="10"/>
        <rFont val="Arial Unicode MS"/>
        <family val="2"/>
        <charset val="1"/>
      </rPr>
      <t xml:space="preserve">偏差控制范围</t>
    </r>
  </si>
  <si>
    <t xml:space="preserve">thr_schedule</t>
  </si>
  <si>
    <r>
      <rPr>
        <sz val="10"/>
        <rFont val="Arial Unicode MS"/>
        <family val="2"/>
        <charset val="1"/>
      </rPr>
      <t xml:space="preserve">进度</t>
    </r>
    <r>
      <rPr>
        <sz val="10"/>
        <rFont val="Arial"/>
        <family val="0"/>
        <charset val="1"/>
      </rPr>
      <t xml:space="preserve">/</t>
    </r>
    <r>
      <rPr>
        <sz val="10"/>
        <rFont val="Arial Unicode MS"/>
        <family val="2"/>
        <charset val="1"/>
      </rPr>
      <t xml:space="preserve">累计工期偏差率允许范围</t>
    </r>
  </si>
  <si>
    <t xml:space="preserve">成本偏差控制范围</t>
  </si>
  <si>
    <t xml:space="preserve">thr_cost</t>
  </si>
  <si>
    <t xml:space="preserve">成本偏差率允许范围</t>
  </si>
  <si>
    <t xml:space="preserve">规模偏差控制范围</t>
  </si>
  <si>
    <t xml:space="preserve">thr_size</t>
  </si>
  <si>
    <t xml:space="preserve">±10%</t>
  </si>
  <si>
    <t xml:space="preserve">功能点规模偏差率允许范围</t>
  </si>
  <si>
    <t xml:space="preserve">缺陷探测率目标</t>
  </si>
  <si>
    <t xml:space="preserve">thr_detect</t>
  </si>
  <si>
    <t xml:space="preserve">指标≥目标</t>
  </si>
  <si>
    <t xml:space="preserve">≥75%</t>
  </si>
  <si>
    <t xml:space="preserve">系统测试加权缺陷占总加权缺陷比例的下限</t>
  </si>
  <si>
    <r>
      <rPr>
        <sz val="10"/>
        <rFont val="Arial Unicode MS"/>
        <family val="2"/>
        <charset val="1"/>
      </rPr>
      <t xml:space="preserve">功能点耗时率目标</t>
    </r>
    <r>
      <rPr>
        <sz val="10"/>
        <rFont val="Arial"/>
        <family val="0"/>
        <charset val="1"/>
      </rPr>
      <t xml:space="preserve">(</t>
    </r>
    <r>
      <rPr>
        <sz val="10"/>
        <rFont val="Arial Unicode MS"/>
        <family val="2"/>
        <charset val="1"/>
      </rPr>
      <t xml:space="preserve">人时</t>
    </r>
    <r>
      <rPr>
        <sz val="10"/>
        <rFont val="Arial"/>
        <family val="0"/>
        <charset val="1"/>
      </rPr>
      <t xml:space="preserve">/FP)</t>
    </r>
  </si>
  <si>
    <t xml:space="preserve">thr_hourfp</t>
  </si>
  <si>
    <t xml:space="preserve">指标≤目标</t>
  </si>
  <si>
    <t xml:space="preserve">≤7.15</t>
  </si>
  <si>
    <t xml:space="preserve">每功能点耗用人时上限</t>
  </si>
  <si>
    <r>
      <rPr>
        <sz val="10"/>
        <rFont val="Arial Unicode MS"/>
        <family val="2"/>
        <charset val="1"/>
      </rPr>
      <t xml:space="preserve">评审效率目标</t>
    </r>
    <r>
      <rPr>
        <sz val="10"/>
        <rFont val="Arial"/>
        <family val="0"/>
        <charset val="1"/>
      </rPr>
      <t xml:space="preserve">(</t>
    </r>
    <r>
      <rPr>
        <sz val="10"/>
        <rFont val="Arial Unicode MS"/>
        <family val="2"/>
        <charset val="1"/>
      </rPr>
      <t xml:space="preserve">个</t>
    </r>
    <r>
      <rPr>
        <sz val="10"/>
        <rFont val="Arial"/>
        <family val="0"/>
        <charset val="1"/>
      </rPr>
      <t xml:space="preserve">/</t>
    </r>
    <r>
      <rPr>
        <sz val="10"/>
        <rFont val="Arial Unicode MS"/>
        <family val="2"/>
        <charset val="1"/>
      </rPr>
      <t xml:space="preserve">人时</t>
    </r>
    <r>
      <rPr>
        <sz val="10"/>
        <rFont val="Arial"/>
        <family val="0"/>
        <charset val="1"/>
      </rPr>
      <t xml:space="preserve">)</t>
    </r>
  </si>
  <si>
    <t xml:space="preserve">thr_review</t>
  </si>
  <si>
    <t xml:space="preserve">≥0.75</t>
  </si>
  <si>
    <t xml:space="preserve">评审每人时发现缺陷数下限</t>
  </si>
  <si>
    <t xml:space="preserve">红绿灯规则系数</t>
  </si>
  <si>
    <t xml:space="preserve">coef_green</t>
  </si>
  <si>
    <r>
      <rPr>
        <sz val="10"/>
        <rFont val="Arial Unicode MS"/>
        <family val="2"/>
        <charset val="1"/>
      </rPr>
      <t xml:space="preserve">绿区</t>
    </r>
    <r>
      <rPr>
        <sz val="10"/>
        <rFont val="Arial"/>
        <family val="0"/>
        <charset val="1"/>
      </rPr>
      <t xml:space="preserve">=</t>
    </r>
    <r>
      <rPr>
        <sz val="10"/>
        <rFont val="Arial Unicode MS"/>
        <family val="2"/>
        <charset val="1"/>
      </rPr>
      <t xml:space="preserve">阈值</t>
    </r>
    <r>
      <rPr>
        <sz val="10"/>
        <rFont val="Arial"/>
        <family val="0"/>
        <charset val="1"/>
      </rPr>
      <t xml:space="preserve">×</t>
    </r>
    <r>
      <rPr>
        <sz val="10"/>
        <rFont val="Arial Unicode MS"/>
        <family val="2"/>
        <charset val="1"/>
      </rPr>
      <t xml:space="preserve">系数</t>
    </r>
  </si>
  <si>
    <t xml:space="preserve">0.6</t>
  </si>
  <si>
    <r>
      <rPr>
        <sz val="10"/>
        <rFont val="Arial"/>
        <family val="0"/>
        <charset val="1"/>
      </rPr>
      <t xml:space="preserve">|</t>
    </r>
    <r>
      <rPr>
        <sz val="10"/>
        <rFont val="Arial Unicode MS"/>
        <family val="2"/>
        <charset val="1"/>
      </rPr>
      <t xml:space="preserve">偏差</t>
    </r>
    <r>
      <rPr>
        <sz val="10"/>
        <rFont val="Arial"/>
        <family val="0"/>
        <charset val="1"/>
      </rPr>
      <t xml:space="preserve">|≤</t>
    </r>
    <r>
      <rPr>
        <sz val="10"/>
        <rFont val="Arial Unicode MS"/>
        <family val="2"/>
        <charset val="1"/>
      </rPr>
      <t xml:space="preserve">阈值</t>
    </r>
    <r>
      <rPr>
        <sz val="10"/>
        <rFont val="Arial"/>
        <family val="0"/>
        <charset val="1"/>
      </rPr>
      <t xml:space="preserve">×</t>
    </r>
    <r>
      <rPr>
        <sz val="10"/>
        <rFont val="Arial Unicode MS"/>
        <family val="2"/>
        <charset val="1"/>
      </rPr>
      <t xml:space="preserve">系数为●正常；≤阈值为▲预警；</t>
    </r>
    <r>
      <rPr>
        <sz val="10"/>
        <rFont val="Arial"/>
        <family val="0"/>
        <charset val="1"/>
      </rPr>
      <t xml:space="preserve">&gt;</t>
    </r>
    <r>
      <rPr>
        <sz val="10"/>
        <rFont val="Arial Unicode MS"/>
        <family val="2"/>
        <charset val="1"/>
      </rPr>
      <t xml:space="preserve">阈值为✖超限</t>
    </r>
  </si>
  <si>
    <r>
      <rPr>
        <b val="true"/>
        <sz val="10"/>
        <color rgb="FF1F4E79"/>
        <rFont val="Arial Unicode MS"/>
        <family val="2"/>
        <charset val="1"/>
      </rPr>
      <t xml:space="preserve">缺陷加权权重（由项目</t>
    </r>
    <r>
      <rPr>
        <b val="true"/>
        <sz val="10"/>
        <color rgb="FF1F4E79"/>
        <rFont val="Arial"/>
        <family val="0"/>
        <charset val="1"/>
      </rPr>
      <t xml:space="preserve">2</t>
    </r>
    <r>
      <rPr>
        <b val="true"/>
        <sz val="10"/>
        <color rgb="FF1F4E79"/>
        <rFont val="Arial Unicode MS"/>
        <family val="2"/>
        <charset val="1"/>
      </rPr>
      <t xml:space="preserve">缺陷表原始数据反推核对：集成</t>
    </r>
    <r>
      <rPr>
        <b val="true"/>
        <sz val="10"/>
        <color rgb="FF1F4E79"/>
        <rFont val="Arial"/>
        <family val="0"/>
        <charset val="1"/>
      </rPr>
      <t xml:space="preserve">102/</t>
    </r>
    <r>
      <rPr>
        <b val="true"/>
        <sz val="10"/>
        <color rgb="FF1F4E79"/>
        <rFont val="Arial Unicode MS"/>
        <family val="2"/>
        <charset val="1"/>
      </rPr>
      <t xml:space="preserve">验收</t>
    </r>
    <r>
      <rPr>
        <b val="true"/>
        <sz val="10"/>
        <color rgb="FF1F4E79"/>
        <rFont val="Arial"/>
        <family val="0"/>
        <charset val="1"/>
      </rPr>
      <t xml:space="preserve">28/</t>
    </r>
    <r>
      <rPr>
        <b val="true"/>
        <sz val="10"/>
        <color rgb="FF1F4E79"/>
        <rFont val="Arial Unicode MS"/>
        <family val="2"/>
        <charset val="1"/>
      </rPr>
      <t xml:space="preserve">总计</t>
    </r>
    <r>
      <rPr>
        <b val="true"/>
        <sz val="10"/>
        <color rgb="FF1F4E79"/>
        <rFont val="Arial"/>
        <family val="0"/>
        <charset val="1"/>
      </rPr>
      <t xml:space="preserve">130</t>
    </r>
    <r>
      <rPr>
        <b val="true"/>
        <sz val="10"/>
        <color rgb="FF1F4E79"/>
        <rFont val="Arial Unicode MS"/>
        <family val="2"/>
        <charset val="1"/>
      </rPr>
      <t xml:space="preserve">全部吻合；非常见</t>
    </r>
    <r>
      <rPr>
        <b val="true"/>
        <sz val="10"/>
        <color rgb="FF1F4E79"/>
        <rFont val="Arial"/>
        <family val="0"/>
        <charset val="1"/>
      </rPr>
      <t xml:space="preserve">10/5/2/1</t>
    </r>
    <r>
      <rPr>
        <b val="true"/>
        <sz val="10"/>
        <color rgb="FF1F4E79"/>
        <rFont val="Arial Unicode MS"/>
        <family val="2"/>
        <charset val="1"/>
      </rPr>
      <t xml:space="preserve">口径）</t>
    </r>
  </si>
  <si>
    <t xml:space="preserve">致命缺陷权重</t>
  </si>
  <si>
    <t xml:space="preserve">w_fatal</t>
  </si>
  <si>
    <r>
      <rPr>
        <sz val="10"/>
        <rFont val="Arial Unicode MS"/>
        <family val="2"/>
        <charset val="1"/>
      </rPr>
      <t xml:space="preserve">缺陷加权数</t>
    </r>
    <r>
      <rPr>
        <sz val="10"/>
        <rFont val="Arial"/>
        <family val="0"/>
        <charset val="1"/>
      </rPr>
      <t xml:space="preserve">=Σ(</t>
    </r>
    <r>
      <rPr>
        <sz val="10"/>
        <rFont val="Arial Unicode MS"/>
        <family val="2"/>
        <charset val="1"/>
      </rPr>
      <t xml:space="preserve">各级数量</t>
    </r>
    <r>
      <rPr>
        <sz val="10"/>
        <rFont val="Arial"/>
        <family val="0"/>
        <charset val="1"/>
      </rPr>
      <t xml:space="preserve">×</t>
    </r>
    <r>
      <rPr>
        <sz val="10"/>
        <rFont val="Arial Unicode MS"/>
        <family val="2"/>
        <charset val="1"/>
      </rPr>
      <t xml:space="preserve">权重</t>
    </r>
    <r>
      <rPr>
        <sz val="10"/>
        <rFont val="Arial"/>
        <family val="0"/>
        <charset val="1"/>
      </rPr>
      <t xml:space="preserve">)</t>
    </r>
  </si>
  <si>
    <t xml:space="preserve">严重缺陷权重</t>
  </si>
  <si>
    <t xml:space="preserve">w_severe</t>
  </si>
  <si>
    <t xml:space="preserve">一般缺陷权重</t>
  </si>
  <si>
    <t xml:space="preserve">w_normal</t>
  </si>
  <si>
    <t xml:space="preserve">细微缺陷权重</t>
  </si>
  <si>
    <t xml:space="preserve">w_minor</t>
  </si>
  <si>
    <r>
      <rPr>
        <sz val="10"/>
        <rFont val="Arial Unicode MS"/>
        <family val="2"/>
        <charset val="1"/>
      </rPr>
      <t xml:space="preserve">单位换算：</t>
    </r>
    <r>
      <rPr>
        <sz val="10"/>
        <rFont val="Arial"/>
        <family val="0"/>
        <charset val="1"/>
      </rPr>
      <t xml:space="preserve">1</t>
    </r>
    <r>
      <rPr>
        <sz val="10"/>
        <rFont val="Arial Unicode MS"/>
        <family val="2"/>
        <charset val="1"/>
      </rPr>
      <t xml:space="preserve">人天 </t>
    </r>
    <r>
      <rPr>
        <sz val="10"/>
        <rFont val="Arial"/>
        <family val="0"/>
        <charset val="1"/>
      </rPr>
      <t xml:space="preserve">=</t>
    </r>
  </si>
  <si>
    <t xml:space="preserve">hours_per_day</t>
  </si>
  <si>
    <t xml:space="preserve">人时</t>
  </si>
  <si>
    <r>
      <rPr>
        <sz val="10"/>
        <rFont val="Arial Unicode MS"/>
        <family val="2"/>
        <charset val="1"/>
      </rPr>
      <t xml:space="preserve">功能点耗时率换算用；</t>
    </r>
    <r>
      <rPr>
        <sz val="10"/>
        <rFont val="Arial"/>
        <family val="0"/>
        <charset val="1"/>
      </rPr>
      <t xml:space="preserve">1</t>
    </r>
    <r>
      <rPr>
        <sz val="10"/>
        <rFont val="Arial Unicode MS"/>
        <family val="2"/>
        <charset val="1"/>
      </rPr>
      <t xml:space="preserve">人月</t>
    </r>
    <r>
      <rPr>
        <sz val="10"/>
        <rFont val="Arial"/>
        <family val="0"/>
        <charset val="1"/>
      </rPr>
      <t xml:space="preserve">=20</t>
    </r>
    <r>
      <rPr>
        <sz val="10"/>
        <rFont val="Arial Unicode MS"/>
        <family val="2"/>
        <charset val="1"/>
      </rPr>
      <t xml:space="preserve">人天</t>
    </r>
  </si>
  <si>
    <t xml:space="preserve">红绿灯判定规则</t>
  </si>
  <si>
    <r>
      <rPr>
        <sz val="10"/>
        <rFont val="Arial Unicode MS"/>
        <family val="2"/>
        <charset val="1"/>
      </rPr>
      <t xml:space="preserve">红黄绿判定规则：</t>
    </r>
    <r>
      <rPr>
        <sz val="10"/>
        <rFont val="Arial"/>
        <family val="0"/>
        <charset val="1"/>
      </rPr>
      <t xml:space="preserve">|</t>
    </r>
    <r>
      <rPr>
        <sz val="10"/>
        <rFont val="Arial Unicode MS"/>
        <family val="2"/>
        <charset val="1"/>
      </rPr>
      <t xml:space="preserve">偏差率</t>
    </r>
    <r>
      <rPr>
        <sz val="10"/>
        <rFont val="Arial"/>
        <family val="0"/>
        <charset val="1"/>
      </rPr>
      <t xml:space="preserve">|≤</t>
    </r>
    <r>
      <rPr>
        <sz val="10"/>
        <rFont val="Arial Unicode MS"/>
        <family val="2"/>
        <charset val="1"/>
      </rPr>
      <t xml:space="preserve">阈值</t>
    </r>
    <r>
      <rPr>
        <sz val="10"/>
        <rFont val="Arial"/>
        <family val="0"/>
        <charset val="1"/>
      </rPr>
      <t xml:space="preserve">×0.6 </t>
    </r>
    <r>
      <rPr>
        <sz val="10"/>
        <rFont val="Arial Unicode MS"/>
        <family val="2"/>
        <charset val="1"/>
      </rPr>
      <t xml:space="preserve">为绿色（正常），阈值</t>
    </r>
    <r>
      <rPr>
        <sz val="10"/>
        <rFont val="Arial"/>
        <family val="0"/>
        <charset val="1"/>
      </rPr>
      <t xml:space="preserve">×0.6&lt;|</t>
    </r>
    <r>
      <rPr>
        <sz val="10"/>
        <rFont val="Arial Unicode MS"/>
        <family val="2"/>
        <charset val="1"/>
      </rPr>
      <t xml:space="preserve">偏差率</t>
    </r>
    <r>
      <rPr>
        <sz val="10"/>
        <rFont val="Arial"/>
        <family val="0"/>
        <charset val="1"/>
      </rPr>
      <t xml:space="preserve">|≤</t>
    </r>
    <r>
      <rPr>
        <sz val="10"/>
        <rFont val="Arial Unicode MS"/>
        <family val="2"/>
        <charset val="1"/>
      </rPr>
      <t xml:space="preserve">阈值 为黄色（预警），</t>
    </r>
    <r>
      <rPr>
        <sz val="10"/>
        <rFont val="Arial"/>
        <family val="0"/>
        <charset val="1"/>
      </rPr>
      <t xml:space="preserve">|</t>
    </r>
    <r>
      <rPr>
        <sz val="10"/>
        <rFont val="Arial Unicode MS"/>
        <family val="2"/>
        <charset val="1"/>
      </rPr>
      <t xml:space="preserve">偏差率</t>
    </r>
    <r>
      <rPr>
        <sz val="10"/>
        <rFont val="Arial"/>
        <family val="0"/>
        <charset val="1"/>
      </rPr>
      <t xml:space="preserve">|&gt;</t>
    </r>
    <r>
      <rPr>
        <sz val="10"/>
        <rFont val="Arial Unicode MS"/>
        <family val="2"/>
        <charset val="1"/>
      </rPr>
      <t xml:space="preserve">阈值 为红色（超限）。工作量</t>
    </r>
    <r>
      <rPr>
        <sz val="10"/>
        <rFont val="Arial"/>
        <family val="0"/>
        <charset val="1"/>
      </rPr>
      <t xml:space="preserve">/</t>
    </r>
    <r>
      <rPr>
        <sz val="10"/>
        <rFont val="Arial Unicode MS"/>
        <family val="2"/>
        <charset val="1"/>
      </rPr>
      <t xml:space="preserve">进度</t>
    </r>
    <r>
      <rPr>
        <sz val="10"/>
        <rFont val="Arial"/>
        <family val="0"/>
        <charset val="1"/>
      </rPr>
      <t xml:space="preserve">/</t>
    </r>
    <r>
      <rPr>
        <sz val="10"/>
        <rFont val="Arial Unicode MS"/>
        <family val="2"/>
        <charset val="1"/>
      </rPr>
      <t xml:space="preserve">成本偏差阈值</t>
    </r>
    <r>
      <rPr>
        <sz val="10"/>
        <rFont val="Arial"/>
        <family val="0"/>
        <charset val="1"/>
      </rPr>
      <t xml:space="preserve">±15%</t>
    </r>
    <r>
      <rPr>
        <sz val="10"/>
        <rFont val="Arial Unicode MS"/>
        <family val="2"/>
        <charset val="1"/>
      </rPr>
      <t xml:space="preserve">（绿区≤</t>
    </r>
    <r>
      <rPr>
        <sz val="10"/>
        <rFont val="Arial"/>
        <family val="0"/>
        <charset val="1"/>
      </rPr>
      <t xml:space="preserve">9%</t>
    </r>
    <r>
      <rPr>
        <sz val="10"/>
        <rFont val="Arial Unicode MS"/>
        <family val="2"/>
        <charset val="1"/>
      </rPr>
      <t xml:space="preserve">）、规模偏差阈值</t>
    </r>
    <r>
      <rPr>
        <sz val="10"/>
        <rFont val="Arial"/>
        <family val="0"/>
        <charset val="1"/>
      </rPr>
      <t xml:space="preserve">±10%</t>
    </r>
    <r>
      <rPr>
        <sz val="10"/>
        <rFont val="Arial Unicode MS"/>
        <family val="2"/>
        <charset val="1"/>
      </rPr>
      <t xml:space="preserve">（绿区≤</t>
    </r>
    <r>
      <rPr>
        <sz val="10"/>
        <rFont val="Arial"/>
        <family val="0"/>
        <charset val="1"/>
      </rPr>
      <t xml:space="preserve">6%</t>
    </r>
    <r>
      <rPr>
        <sz val="10"/>
        <rFont val="Arial Unicode MS"/>
        <family val="2"/>
        <charset val="1"/>
      </rPr>
      <t xml:space="preserve">）；达标线类指标：缺陷探测率≥</t>
    </r>
    <r>
      <rPr>
        <sz val="10"/>
        <rFont val="Arial"/>
        <family val="0"/>
        <charset val="1"/>
      </rPr>
      <t xml:space="preserve">75%</t>
    </r>
    <r>
      <rPr>
        <sz val="10"/>
        <rFont val="Arial Unicode MS"/>
        <family val="2"/>
        <charset val="1"/>
      </rPr>
      <t xml:space="preserve">、评审效率≥</t>
    </r>
    <r>
      <rPr>
        <sz val="10"/>
        <rFont val="Arial"/>
        <family val="0"/>
        <charset val="1"/>
      </rPr>
      <t xml:space="preserve">0.75</t>
    </r>
    <r>
      <rPr>
        <sz val="10"/>
        <rFont val="Arial Unicode MS"/>
        <family val="2"/>
        <charset val="1"/>
      </rPr>
      <t xml:space="preserve">个</t>
    </r>
    <r>
      <rPr>
        <sz val="10"/>
        <rFont val="Arial"/>
        <family val="0"/>
        <charset val="1"/>
      </rPr>
      <t xml:space="preserve">/</t>
    </r>
    <r>
      <rPr>
        <sz val="10"/>
        <rFont val="Arial Unicode MS"/>
        <family val="2"/>
        <charset val="1"/>
      </rPr>
      <t xml:space="preserve">人时、功能点耗时率≤</t>
    </r>
    <r>
      <rPr>
        <sz val="10"/>
        <rFont val="Arial"/>
        <family val="0"/>
        <charset val="1"/>
      </rPr>
      <t xml:space="preserve">7.15</t>
    </r>
    <r>
      <rPr>
        <sz val="10"/>
        <rFont val="Arial Unicode MS"/>
        <family val="2"/>
        <charset val="1"/>
      </rPr>
      <t xml:space="preserve">人时</t>
    </r>
    <r>
      <rPr>
        <sz val="10"/>
        <rFont val="Arial"/>
        <family val="0"/>
        <charset val="1"/>
      </rPr>
      <t xml:space="preserve">/FP</t>
    </r>
    <r>
      <rPr>
        <sz val="10"/>
        <rFont val="Arial Unicode MS"/>
        <family val="2"/>
        <charset val="1"/>
      </rPr>
      <t xml:space="preserve">，达标为绿、未达标为红。</t>
    </r>
  </si>
  <si>
    <r>
      <rPr>
        <b val="true"/>
        <sz val="12"/>
        <color rgb="FF1F4E79"/>
        <rFont val="Arial Unicode MS"/>
        <family val="2"/>
        <charset val="1"/>
      </rPr>
      <t xml:space="preserve">项目</t>
    </r>
    <r>
      <rPr>
        <b val="true"/>
        <sz val="12"/>
        <color rgb="FF1F4E79"/>
        <rFont val="Arial"/>
        <family val="0"/>
        <charset val="1"/>
      </rPr>
      <t xml:space="preserve">1</t>
    </r>
    <r>
      <rPr>
        <b val="true"/>
        <sz val="12"/>
        <color rgb="FF1F4E79"/>
        <rFont val="Arial Unicode MS"/>
        <family val="2"/>
        <charset val="1"/>
      </rPr>
      <t xml:space="preserve">度量数据（度量表</t>
    </r>
    <r>
      <rPr>
        <b val="true"/>
        <sz val="12"/>
        <color rgb="FF1F4E79"/>
        <rFont val="Arial"/>
        <family val="0"/>
        <charset val="1"/>
      </rPr>
      <t xml:space="preserve">1</t>
    </r>
    <r>
      <rPr>
        <b val="true"/>
        <sz val="12"/>
        <color rgb="FF1F4E79"/>
        <rFont val="Arial Unicode MS"/>
        <family val="2"/>
        <charset val="1"/>
      </rPr>
      <t xml:space="preserve">）  周期：</t>
    </r>
    <r>
      <rPr>
        <b val="true"/>
        <sz val="12"/>
        <color rgb="FF1F4E79"/>
        <rFont val="Arial"/>
        <family val="0"/>
        <charset val="1"/>
      </rPr>
      <t xml:space="preserve">2025-02-24 ~ 2025-06-30  </t>
    </r>
    <r>
      <rPr>
        <b val="true"/>
        <sz val="12"/>
        <color rgb="FF1F4E79"/>
        <rFont val="Arial Unicode MS"/>
        <family val="2"/>
        <charset val="1"/>
      </rPr>
      <t xml:space="preserve">实际规模</t>
    </r>
    <r>
      <rPr>
        <b val="true"/>
        <sz val="12"/>
        <color rgb="FF1F4E79"/>
        <rFont val="Arial"/>
        <family val="0"/>
        <charset val="1"/>
      </rPr>
      <t xml:space="preserve">256FP</t>
    </r>
  </si>
  <si>
    <r>
      <rPr>
        <i val="true"/>
        <sz val="9"/>
        <color rgb="FF808080"/>
        <rFont val="Arial Unicode MS"/>
        <family val="2"/>
        <charset val="1"/>
      </rPr>
      <t xml:space="preserve">蓝字</t>
    </r>
    <r>
      <rPr>
        <i val="true"/>
        <sz val="9"/>
        <color rgb="FF808080"/>
        <rFont val="Arial"/>
        <family val="0"/>
        <charset val="1"/>
      </rPr>
      <t xml:space="preserve">=</t>
    </r>
    <r>
      <rPr>
        <i val="true"/>
        <sz val="9"/>
        <color rgb="FF808080"/>
        <rFont val="Arial Unicode MS"/>
        <family val="2"/>
        <charset val="1"/>
      </rPr>
      <t xml:space="preserve">原表计划</t>
    </r>
    <r>
      <rPr>
        <i val="true"/>
        <sz val="9"/>
        <color rgb="FF808080"/>
        <rFont val="Arial"/>
        <family val="0"/>
        <charset val="1"/>
      </rPr>
      <t xml:space="preserve">/</t>
    </r>
    <r>
      <rPr>
        <i val="true"/>
        <sz val="9"/>
        <color rgb="FF808080"/>
        <rFont val="Arial Unicode MS"/>
        <family val="2"/>
        <charset val="1"/>
      </rPr>
      <t xml:space="preserve">实际原值（可修改）；黑字</t>
    </r>
    <r>
      <rPr>
        <i val="true"/>
        <sz val="9"/>
        <color rgb="FF808080"/>
        <rFont val="Arial"/>
        <family val="0"/>
        <charset val="1"/>
      </rPr>
      <t xml:space="preserve">=</t>
    </r>
    <r>
      <rPr>
        <i val="true"/>
        <sz val="9"/>
        <color rgb="FF808080"/>
        <rFont val="Arial Unicode MS"/>
        <family val="2"/>
        <charset val="1"/>
      </rPr>
      <t xml:space="preserve">公式；总计行与偏差率一律公式计算。</t>
    </r>
  </si>
  <si>
    <r>
      <rPr>
        <b val="true"/>
        <sz val="10"/>
        <color rgb="FF1F4E79"/>
        <rFont val="Arial Unicode MS"/>
        <family val="2"/>
        <charset val="1"/>
      </rPr>
      <t xml:space="preserve">一、规模度量（各阶段规模对比，单位：功能点</t>
    </r>
    <r>
      <rPr>
        <b val="true"/>
        <sz val="10"/>
        <color rgb="FF1F4E79"/>
        <rFont val="Arial"/>
        <family val="0"/>
        <charset val="1"/>
      </rPr>
      <t xml:space="preserve">FP</t>
    </r>
    <r>
      <rPr>
        <b val="true"/>
        <sz val="10"/>
        <color rgb="FF1F4E79"/>
        <rFont val="Arial Unicode MS"/>
        <family val="2"/>
        <charset val="1"/>
      </rPr>
      <t xml:space="preserve">）</t>
    </r>
  </si>
  <si>
    <t xml:space="preserve">编号</t>
  </si>
  <si>
    <t xml:space="preserve">阶段</t>
  </si>
  <si>
    <r>
      <rPr>
        <b val="true"/>
        <sz val="10"/>
        <color rgb="FFFFFFFF"/>
        <rFont val="Arial Unicode MS"/>
        <family val="2"/>
        <charset val="1"/>
      </rPr>
      <t xml:space="preserve">估算规模</t>
    </r>
    <r>
      <rPr>
        <b val="true"/>
        <sz val="10"/>
        <color rgb="FFFFFFFF"/>
        <rFont val="Arial"/>
        <family val="0"/>
        <charset val="1"/>
      </rPr>
      <t xml:space="preserve">(FP)</t>
    </r>
  </si>
  <si>
    <r>
      <rPr>
        <b val="true"/>
        <sz val="10"/>
        <color rgb="FFFFFFFF"/>
        <rFont val="Arial Unicode MS"/>
        <family val="2"/>
        <charset val="1"/>
      </rPr>
      <t xml:space="preserve">实际规模</t>
    </r>
    <r>
      <rPr>
        <b val="true"/>
        <sz val="10"/>
        <color rgb="FFFFFFFF"/>
        <rFont val="Arial"/>
        <family val="0"/>
        <charset val="1"/>
      </rPr>
      <t xml:space="preserve">(FP)</t>
    </r>
  </si>
  <si>
    <t xml:space="preserve">规模偏差率</t>
  </si>
  <si>
    <t xml:space="preserve">项目策划</t>
  </si>
  <si>
    <t xml:space="preserve">需求</t>
  </si>
  <si>
    <t xml:space="preserve">设计</t>
  </si>
  <si>
    <t xml:space="preserve">实现</t>
  </si>
  <si>
    <t xml:space="preserve">测试</t>
  </si>
  <si>
    <t xml:space="preserve">验收结项</t>
  </si>
  <si>
    <r>
      <rPr>
        <i val="true"/>
        <sz val="9"/>
        <color rgb="FF808080"/>
        <rFont val="Arial Unicode MS"/>
        <family val="2"/>
        <charset val="1"/>
      </rPr>
      <t xml:space="preserve">验收结项无估算值，偏差率空缺（估算</t>
    </r>
    <r>
      <rPr>
        <i val="true"/>
        <sz val="9"/>
        <color rgb="FF808080"/>
        <rFont val="Arial"/>
        <family val="0"/>
        <charset val="1"/>
      </rPr>
      <t xml:space="preserve">187FP→</t>
    </r>
    <r>
      <rPr>
        <i val="true"/>
        <sz val="9"/>
        <color rgb="FF808080"/>
        <rFont val="Arial Unicode MS"/>
        <family val="2"/>
        <charset val="1"/>
      </rPr>
      <t xml:space="preserve">实际</t>
    </r>
    <r>
      <rPr>
        <i val="true"/>
        <sz val="9"/>
        <color rgb="FF808080"/>
        <rFont val="Arial"/>
        <family val="0"/>
        <charset val="1"/>
      </rPr>
      <t xml:space="preserve">256FP</t>
    </r>
    <r>
      <rPr>
        <i val="true"/>
        <sz val="9"/>
        <color rgb="FF808080"/>
        <rFont val="Arial Unicode MS"/>
        <family val="2"/>
        <charset val="1"/>
      </rPr>
      <t xml:space="preserve">，跳变约</t>
    </r>
    <r>
      <rPr>
        <i val="true"/>
        <sz val="9"/>
        <color rgb="FF808080"/>
        <rFont val="Arial"/>
        <family val="0"/>
        <charset val="1"/>
      </rPr>
      <t xml:space="preserve">27%</t>
    </r>
    <r>
      <rPr>
        <i val="true"/>
        <sz val="9"/>
        <color rgb="FF808080"/>
        <rFont val="Arial Unicode MS"/>
        <family val="2"/>
        <charset val="1"/>
      </rPr>
      <t xml:space="preserve">）</t>
    </r>
  </si>
  <si>
    <r>
      <rPr>
        <sz val="10"/>
        <rFont val="Arial Unicode MS"/>
        <family val="2"/>
        <charset val="1"/>
      </rPr>
      <t xml:space="preserve">结论（原表）：项目规模的估算在不同阶段有些偏差，在项目策划阶段估算规模为</t>
    </r>
    <r>
      <rPr>
        <sz val="10"/>
        <rFont val="Arial"/>
        <family val="0"/>
        <charset val="1"/>
      </rPr>
      <t xml:space="preserve">176</t>
    </r>
    <r>
      <rPr>
        <sz val="10"/>
        <rFont val="Arial Unicode MS"/>
        <family val="2"/>
        <charset val="1"/>
      </rPr>
      <t xml:space="preserve">功能，需求阶段为</t>
    </r>
    <r>
      <rPr>
        <sz val="10"/>
        <rFont val="Arial"/>
        <family val="0"/>
        <charset val="1"/>
      </rPr>
      <t xml:space="preserve">185</t>
    </r>
    <r>
      <rPr>
        <sz val="10"/>
        <rFont val="Arial Unicode MS"/>
        <family val="2"/>
        <charset val="1"/>
      </rPr>
      <t xml:space="preserve">个功能。策划阶段比需求阶段少</t>
    </r>
    <r>
      <rPr>
        <sz val="10"/>
        <rFont val="Arial"/>
        <family val="0"/>
        <charset val="1"/>
      </rPr>
      <t xml:space="preserve">9</t>
    </r>
    <r>
      <rPr>
        <sz val="10"/>
        <rFont val="Arial Unicode MS"/>
        <family val="2"/>
        <charset val="1"/>
      </rPr>
      <t xml:space="preserve">个功能点，说明对需求分析得不够全面，所以一方面要加强对客户的沟通，另一方面要改进需求调研方法。</t>
    </r>
  </si>
  <si>
    <r>
      <rPr>
        <b val="true"/>
        <sz val="10"/>
        <color rgb="FF1F4E79"/>
        <rFont val="Arial Unicode MS"/>
        <family val="2"/>
        <charset val="1"/>
      </rPr>
      <t xml:space="preserve">二、工作量度量（单位：人天；</t>
    </r>
    <r>
      <rPr>
        <b val="true"/>
        <sz val="10"/>
        <color rgb="FF1F4E79"/>
        <rFont val="Arial"/>
        <family val="0"/>
        <charset val="1"/>
      </rPr>
      <t xml:space="preserve">1</t>
    </r>
    <r>
      <rPr>
        <b val="true"/>
        <sz val="10"/>
        <color rgb="FF1F4E79"/>
        <rFont val="Arial Unicode MS"/>
        <family val="2"/>
        <charset val="1"/>
      </rPr>
      <t xml:space="preserve">人月</t>
    </r>
    <r>
      <rPr>
        <b val="true"/>
        <sz val="10"/>
        <color rgb="FF1F4E79"/>
        <rFont val="Arial"/>
        <family val="0"/>
        <charset val="1"/>
      </rPr>
      <t xml:space="preserve">=20</t>
    </r>
    <r>
      <rPr>
        <b val="true"/>
        <sz val="10"/>
        <color rgb="FF1F4E79"/>
        <rFont val="Arial Unicode MS"/>
        <family val="2"/>
        <charset val="1"/>
      </rPr>
      <t xml:space="preserve">人天，</t>
    </r>
    <r>
      <rPr>
        <b val="true"/>
        <sz val="10"/>
        <color rgb="FF1F4E79"/>
        <rFont val="Arial"/>
        <family val="0"/>
        <charset val="1"/>
      </rPr>
      <t xml:space="preserve">1</t>
    </r>
    <r>
      <rPr>
        <b val="true"/>
        <sz val="10"/>
        <color rgb="FF1F4E79"/>
        <rFont val="Arial Unicode MS"/>
        <family val="2"/>
        <charset val="1"/>
      </rPr>
      <t xml:space="preserve">人天</t>
    </r>
    <r>
      <rPr>
        <b val="true"/>
        <sz val="10"/>
        <color rgb="FF1F4E79"/>
        <rFont val="Arial"/>
        <family val="0"/>
        <charset val="1"/>
      </rPr>
      <t xml:space="preserve">=8</t>
    </r>
    <r>
      <rPr>
        <b val="true"/>
        <sz val="10"/>
        <color rgb="FF1F4E79"/>
        <rFont val="Arial Unicode MS"/>
        <family val="2"/>
        <charset val="1"/>
      </rPr>
      <t xml:space="preserve">人时；偏差率以需求阶段估计值为基准）</t>
    </r>
  </si>
  <si>
    <t xml:space="preserve">工作量分类</t>
  </si>
  <si>
    <r>
      <rPr>
        <b val="true"/>
        <sz val="10"/>
        <color rgb="FFFFFFFF"/>
        <rFont val="Arial Unicode MS"/>
        <family val="2"/>
        <charset val="1"/>
      </rPr>
      <t xml:space="preserve">活动</t>
    </r>
    <r>
      <rPr>
        <b val="true"/>
        <sz val="10"/>
        <color rgb="FFFFFFFF"/>
        <rFont val="Arial"/>
        <family val="0"/>
        <charset val="1"/>
      </rPr>
      <t xml:space="preserve">/</t>
    </r>
    <r>
      <rPr>
        <b val="true"/>
        <sz val="10"/>
        <color rgb="FFFFFFFF"/>
        <rFont val="Arial Unicode MS"/>
        <family val="2"/>
        <charset val="1"/>
      </rPr>
      <t xml:space="preserve">阶段</t>
    </r>
  </si>
  <si>
    <r>
      <rPr>
        <b val="true"/>
        <sz val="10"/>
        <color rgb="FFFFFFFF"/>
        <rFont val="Arial Unicode MS"/>
        <family val="2"/>
        <charset val="1"/>
      </rPr>
      <t xml:space="preserve">估计值</t>
    </r>
    <r>
      <rPr>
        <b val="true"/>
        <sz val="10"/>
        <color rgb="FFFFFFFF"/>
        <rFont val="Arial"/>
        <family val="0"/>
        <charset val="1"/>
      </rPr>
      <t xml:space="preserve">-</t>
    </r>
    <r>
      <rPr>
        <b val="true"/>
        <sz val="10"/>
        <color rgb="FFFFFFFF"/>
        <rFont val="Arial Unicode MS"/>
        <family val="2"/>
        <charset val="1"/>
      </rPr>
      <t xml:space="preserve">策划阶段</t>
    </r>
  </si>
  <si>
    <r>
      <rPr>
        <b val="true"/>
        <sz val="10"/>
        <color rgb="FFFFFFFF"/>
        <rFont val="Arial Unicode MS"/>
        <family val="2"/>
        <charset val="1"/>
      </rPr>
      <t xml:space="preserve">估计值</t>
    </r>
    <r>
      <rPr>
        <b val="true"/>
        <sz val="10"/>
        <color rgb="FFFFFFFF"/>
        <rFont val="Arial"/>
        <family val="0"/>
        <charset val="1"/>
      </rPr>
      <t xml:space="preserve">-</t>
    </r>
    <r>
      <rPr>
        <b val="true"/>
        <sz val="10"/>
        <color rgb="FFFFFFFF"/>
        <rFont val="Arial Unicode MS"/>
        <family val="2"/>
        <charset val="1"/>
      </rPr>
      <t xml:space="preserve">需求阶段</t>
    </r>
  </si>
  <si>
    <t xml:space="preserve">实际值</t>
  </si>
  <si>
    <t xml:space="preserve">工作量偏差率</t>
  </si>
  <si>
    <t xml:space="preserve">软件工程活动</t>
  </si>
  <si>
    <t xml:space="preserve">编码</t>
  </si>
  <si>
    <t xml:space="preserve">验收</t>
  </si>
  <si>
    <t xml:space="preserve">全阶段</t>
  </si>
  <si>
    <t xml:space="preserve">项目监控</t>
  </si>
  <si>
    <t xml:space="preserve">风险管理</t>
  </si>
  <si>
    <t xml:space="preserve">评审管理</t>
  </si>
  <si>
    <t xml:space="preserve">配置管理</t>
  </si>
  <si>
    <t xml:space="preserve">质量保证</t>
  </si>
  <si>
    <t xml:space="preserve">结项管理</t>
  </si>
  <si>
    <t xml:space="preserve">所有活动阶段总计</t>
  </si>
  <si>
    <t xml:space="preserve">注：估计值分「策划阶段」「需求阶段」两列，工作量偏差率以需求阶段估计值为基准计算</t>
  </si>
  <si>
    <t xml:space="preserve">结论（原表）：工作量的估算在不同的阶段都有偏差，策划阶段估算的工作量和项目实际的偏差较大，而需求阶段偏差越来越小，说明对工作量的估算不够精确，应该采用更精确的估算方法或多参与项目增加项目经验，增强估算能力。</t>
  </si>
  <si>
    <t xml:space="preserve">三、进度度量（单位：天）</t>
  </si>
  <si>
    <t xml:space="preserve">计划开始</t>
  </si>
  <si>
    <t xml:space="preserve">计划完成</t>
  </si>
  <si>
    <t xml:space="preserve">实际开始</t>
  </si>
  <si>
    <t xml:space="preserve">实际完成</t>
  </si>
  <si>
    <t xml:space="preserve">计划完成天数</t>
  </si>
  <si>
    <t xml:space="preserve">实际完成天数</t>
  </si>
  <si>
    <t xml:space="preserve">偏差天数</t>
  </si>
  <si>
    <t xml:space="preserve">进度偏差率</t>
  </si>
  <si>
    <t xml:space="preserve">策划阶段</t>
  </si>
  <si>
    <t xml:space="preserve">2025-02-24</t>
  </si>
  <si>
    <t xml:space="preserve">2025-02-26</t>
  </si>
  <si>
    <t xml:space="preserve">需求阶段</t>
  </si>
  <si>
    <t xml:space="preserve">2025-03-05</t>
  </si>
  <si>
    <t xml:space="preserve">设计阶段</t>
  </si>
  <si>
    <t xml:space="preserve">2025-03-06</t>
  </si>
  <si>
    <t xml:space="preserve">2025-03-14</t>
  </si>
  <si>
    <t xml:space="preserve">编码阶段</t>
  </si>
  <si>
    <t xml:space="preserve">2025-05-13</t>
  </si>
  <si>
    <t xml:space="preserve">2025-05-14</t>
  </si>
  <si>
    <t xml:space="preserve">测试阶段</t>
  </si>
  <si>
    <t xml:space="preserve">2025-06-02</t>
  </si>
  <si>
    <t xml:space="preserve">验收阶段</t>
  </si>
  <si>
    <t xml:space="preserve">2025-06-30</t>
  </si>
  <si>
    <t xml:space="preserve">总计（本工作簿添加）</t>
  </si>
  <si>
    <r>
      <rPr>
        <i val="true"/>
        <sz val="9"/>
        <color rgb="FF808080"/>
        <rFont val="Arial Unicode MS"/>
        <family val="2"/>
        <charset val="1"/>
      </rPr>
      <t xml:space="preserve">备注：偏差天数</t>
    </r>
    <r>
      <rPr>
        <i val="true"/>
        <sz val="9"/>
        <color rgb="FF808080"/>
        <rFont val="Arial"/>
        <family val="0"/>
        <charset val="1"/>
      </rPr>
      <t xml:space="preserve">=</t>
    </r>
    <r>
      <rPr>
        <i val="true"/>
        <sz val="9"/>
        <color rgb="FF808080"/>
        <rFont val="Arial Unicode MS"/>
        <family val="2"/>
        <charset val="1"/>
      </rPr>
      <t xml:space="preserve">实际完成天数</t>
    </r>
    <r>
      <rPr>
        <i val="true"/>
        <sz val="9"/>
        <color rgb="FF808080"/>
        <rFont val="Arial"/>
        <family val="0"/>
        <charset val="1"/>
      </rPr>
      <t xml:space="preserve">-</t>
    </r>
    <r>
      <rPr>
        <i val="true"/>
        <sz val="9"/>
        <color rgb="FF808080"/>
        <rFont val="Arial Unicode MS"/>
        <family val="2"/>
        <charset val="1"/>
      </rPr>
      <t xml:space="preserve">计划完成天数；原表编码阶段实际完成</t>
    </r>
    <r>
      <rPr>
        <i val="true"/>
        <sz val="9"/>
        <color rgb="FF808080"/>
        <rFont val="Arial"/>
        <family val="0"/>
        <charset val="1"/>
      </rPr>
      <t xml:space="preserve">(05-14)</t>
    </r>
    <r>
      <rPr>
        <i val="true"/>
        <sz val="9"/>
        <color rgb="FF808080"/>
        <rFont val="Arial Unicode MS"/>
        <family val="2"/>
        <charset val="1"/>
      </rPr>
      <t xml:space="preserve">晚于计划</t>
    </r>
    <r>
      <rPr>
        <i val="true"/>
        <sz val="9"/>
        <color rgb="FF808080"/>
        <rFont val="Arial"/>
        <family val="0"/>
        <charset val="1"/>
      </rPr>
      <t xml:space="preserve">(05-13)</t>
    </r>
    <r>
      <rPr>
        <i val="true"/>
        <sz val="9"/>
        <color rgb="FF808080"/>
        <rFont val="Arial Unicode MS"/>
        <family val="2"/>
        <charset val="1"/>
      </rPr>
      <t xml:space="preserve">但天数均记</t>
    </r>
    <r>
      <rPr>
        <i val="true"/>
        <sz val="9"/>
        <color rgb="FF808080"/>
        <rFont val="Arial"/>
        <family val="0"/>
        <charset val="1"/>
      </rPr>
      <t xml:space="preserve">61</t>
    </r>
    <r>
      <rPr>
        <i val="true"/>
        <sz val="9"/>
        <color rgb="FF808080"/>
        <rFont val="Arial Unicode MS"/>
        <family val="2"/>
        <charset val="1"/>
      </rPr>
      <t xml:space="preserve">天、偏差记</t>
    </r>
    <r>
      <rPr>
        <i val="true"/>
        <sz val="9"/>
        <color rgb="FF808080"/>
        <rFont val="Arial"/>
        <family val="0"/>
        <charset val="1"/>
      </rPr>
      <t xml:space="preserve">0</t>
    </r>
    <r>
      <rPr>
        <i val="true"/>
        <sz val="9"/>
        <color rgb="FF808080"/>
        <rFont val="Arial Unicode MS"/>
        <family val="2"/>
        <charset val="1"/>
      </rPr>
      <t xml:space="preserve">，数据可信度见</t>
    </r>
    <r>
      <rPr>
        <i val="true"/>
        <sz val="9"/>
        <color rgb="FF808080"/>
        <rFont val="Arial"/>
        <family val="0"/>
        <charset val="1"/>
      </rPr>
      <t xml:space="preserve">00</t>
    </r>
    <r>
      <rPr>
        <i val="true"/>
        <sz val="9"/>
        <color rgb="FF808080"/>
        <rFont val="Arial Unicode MS"/>
        <family val="2"/>
        <charset val="1"/>
      </rPr>
      <t xml:space="preserve">说明。</t>
    </r>
  </si>
  <si>
    <r>
      <rPr>
        <sz val="10"/>
        <rFont val="Arial Unicode MS"/>
        <family val="2"/>
        <charset val="1"/>
      </rPr>
      <t xml:space="preserve">结论（原表）：项目的实际进度与计划略有偏差，但进度控制在结束时间内</t>
    </r>
    <r>
      <rPr>
        <sz val="10"/>
        <rFont val="Arial"/>
        <family val="0"/>
        <charset val="1"/>
      </rPr>
      <t xml:space="preserve">,</t>
    </r>
    <r>
      <rPr>
        <sz val="10"/>
        <rFont val="Arial Unicode MS"/>
        <family val="2"/>
        <charset val="1"/>
      </rPr>
      <t xml:space="preserve">说明在项目进展过程中项目监控的很好，使项目能如期完成，从而提高项目策划能力。</t>
    </r>
  </si>
  <si>
    <r>
      <rPr>
        <b val="true"/>
        <sz val="10"/>
        <color rgb="FF1F4E79"/>
        <rFont val="Arial Unicode MS"/>
        <family val="2"/>
        <charset val="1"/>
      </rPr>
      <t xml:space="preserve">四、成本度量（单位：元；估计源《</t>
    </r>
    <r>
      <rPr>
        <b val="true"/>
        <sz val="10"/>
        <color rgb="FF1F4E79"/>
        <rFont val="Arial"/>
        <family val="0"/>
        <charset val="1"/>
      </rPr>
      <t xml:space="preserve">WBS</t>
    </r>
    <r>
      <rPr>
        <b val="true"/>
        <sz val="10"/>
        <color rgb="FF1F4E79"/>
        <rFont val="Arial Unicode MS"/>
        <family val="2"/>
        <charset val="1"/>
      </rPr>
      <t xml:space="preserve">估算表》，实际源《里程碑状态报告》）</t>
    </r>
  </si>
  <si>
    <t xml:space="preserve">里程碑</t>
  </si>
  <si>
    <r>
      <rPr>
        <b val="true"/>
        <sz val="10"/>
        <color rgb="FFFFFFFF"/>
        <rFont val="Arial Unicode MS"/>
        <family val="2"/>
        <charset val="1"/>
      </rPr>
      <t xml:space="preserve">估算成本</t>
    </r>
    <r>
      <rPr>
        <b val="true"/>
        <sz val="10"/>
        <color rgb="FFFFFFFF"/>
        <rFont val="Arial"/>
        <family val="0"/>
        <charset val="1"/>
      </rPr>
      <t xml:space="preserve">(</t>
    </r>
    <r>
      <rPr>
        <b val="true"/>
        <sz val="10"/>
        <color rgb="FFFFFFFF"/>
        <rFont val="Arial Unicode MS"/>
        <family val="2"/>
        <charset val="1"/>
      </rPr>
      <t xml:space="preserve">元</t>
    </r>
    <r>
      <rPr>
        <b val="true"/>
        <sz val="10"/>
        <color rgb="FFFFFFFF"/>
        <rFont val="Arial"/>
        <family val="0"/>
        <charset val="1"/>
      </rPr>
      <t xml:space="preserve">)</t>
    </r>
  </si>
  <si>
    <r>
      <rPr>
        <b val="true"/>
        <sz val="10"/>
        <color rgb="FFFFFFFF"/>
        <rFont val="Arial Unicode MS"/>
        <family val="2"/>
        <charset val="1"/>
      </rPr>
      <t xml:space="preserve">实际成本</t>
    </r>
    <r>
      <rPr>
        <b val="true"/>
        <sz val="10"/>
        <color rgb="FFFFFFFF"/>
        <rFont val="Arial"/>
        <family val="0"/>
        <charset val="1"/>
      </rPr>
      <t xml:space="preserve">(</t>
    </r>
    <r>
      <rPr>
        <b val="true"/>
        <sz val="10"/>
        <color rgb="FFFFFFFF"/>
        <rFont val="Arial Unicode MS"/>
        <family val="2"/>
        <charset val="1"/>
      </rPr>
      <t xml:space="preserve">元</t>
    </r>
    <r>
      <rPr>
        <b val="true"/>
        <sz val="10"/>
        <color rgb="FFFFFFFF"/>
        <rFont val="Arial"/>
        <family val="0"/>
        <charset val="1"/>
      </rPr>
      <t xml:space="preserve">)</t>
    </r>
  </si>
  <si>
    <t xml:space="preserve">成本偏差率</t>
  </si>
  <si>
    <t xml:space="preserve">策划里程碑</t>
  </si>
  <si>
    <t xml:space="preserve">需求里程碑</t>
  </si>
  <si>
    <t xml:space="preserve">设计里程碑</t>
  </si>
  <si>
    <t xml:space="preserve">开发里程碑</t>
  </si>
  <si>
    <t xml:space="preserve">测试里程碑</t>
  </si>
  <si>
    <t xml:space="preserve">验收里程碑</t>
  </si>
  <si>
    <t xml:space="preserve">总计</t>
  </si>
  <si>
    <t xml:space="preserve">结论（原表）：整个项目过程由于进度的偏差导致每周成本有所偏差，但各里程碑成本控制比较好。整体成本也未发生大的偏差，在成本控制中预留风险控制，帮助改进。</t>
  </si>
  <si>
    <r>
      <rPr>
        <b val="true"/>
        <sz val="10"/>
        <color rgb="FF1F4E79"/>
        <rFont val="Arial Unicode MS"/>
        <family val="2"/>
        <charset val="1"/>
      </rPr>
      <t xml:space="preserve">五、关键派生指标（全部公式自动计算，供</t>
    </r>
    <r>
      <rPr>
        <b val="true"/>
        <sz val="10"/>
        <color rgb="FF1F4E79"/>
        <rFont val="Arial"/>
        <family val="0"/>
        <charset val="1"/>
      </rPr>
      <t xml:space="preserve">04</t>
    </r>
    <r>
      <rPr>
        <b val="true"/>
        <sz val="10"/>
        <color rgb="FF1F4E79"/>
        <rFont val="Arial Unicode MS"/>
        <family val="2"/>
        <charset val="1"/>
      </rPr>
      <t xml:space="preserve">汇总对比</t>
    </r>
    <r>
      <rPr>
        <b val="true"/>
        <sz val="10"/>
        <color rgb="FF1F4E79"/>
        <rFont val="Arial"/>
        <family val="0"/>
        <charset val="1"/>
      </rPr>
      <t xml:space="preserve">/05</t>
    </r>
    <r>
      <rPr>
        <b val="true"/>
        <sz val="10"/>
        <color rgb="FF1F4E79"/>
        <rFont val="Arial Unicode MS"/>
        <family val="2"/>
        <charset val="1"/>
      </rPr>
      <t xml:space="preserve">监控报告引用）</t>
    </r>
  </si>
  <si>
    <r>
      <rPr>
        <sz val="10"/>
        <rFont val="Arial Unicode MS"/>
        <family val="2"/>
        <charset val="1"/>
      </rPr>
      <t xml:space="preserve">实际规模（</t>
    </r>
    <r>
      <rPr>
        <sz val="10"/>
        <rFont val="Arial"/>
        <family val="0"/>
        <charset val="1"/>
      </rPr>
      <t xml:space="preserve">FP</t>
    </r>
    <r>
      <rPr>
        <sz val="10"/>
        <rFont val="Arial Unicode MS"/>
        <family val="2"/>
        <charset val="1"/>
      </rPr>
      <t xml:space="preserve">）</t>
    </r>
  </si>
  <si>
    <t xml:space="preserve">取验收结项阶段实际规模</t>
  </si>
  <si>
    <r>
      <rPr>
        <sz val="10"/>
        <rFont val="Arial Unicode MS"/>
        <family val="2"/>
        <charset val="1"/>
      </rPr>
      <t xml:space="preserve">总工作量</t>
    </r>
    <r>
      <rPr>
        <sz val="10"/>
        <rFont val="Arial"/>
        <family val="0"/>
        <charset val="1"/>
      </rPr>
      <t xml:space="preserve">-</t>
    </r>
    <r>
      <rPr>
        <sz val="10"/>
        <rFont val="Arial Unicode MS"/>
        <family val="2"/>
        <charset val="1"/>
      </rPr>
      <t xml:space="preserve">需求阶段估计（人天）</t>
    </r>
  </si>
  <si>
    <r>
      <rPr>
        <sz val="10"/>
        <rFont val="Arial Unicode MS"/>
        <family val="2"/>
        <charset val="1"/>
      </rPr>
      <t xml:space="preserve">总工作量</t>
    </r>
    <r>
      <rPr>
        <sz val="10"/>
        <rFont val="Arial"/>
        <family val="0"/>
        <charset val="1"/>
      </rPr>
      <t xml:space="preserve">-</t>
    </r>
    <r>
      <rPr>
        <sz val="10"/>
        <rFont val="Arial Unicode MS"/>
        <family val="2"/>
        <charset val="1"/>
      </rPr>
      <t xml:space="preserve">实际（人天）</t>
    </r>
  </si>
  <si>
    <r>
      <rPr>
        <i val="true"/>
        <sz val="9"/>
        <color rgb="FF808080"/>
        <rFont val="Arial Unicode MS"/>
        <family val="2"/>
        <charset val="1"/>
      </rPr>
      <t xml:space="preserve">基准</t>
    </r>
    <r>
      <rPr>
        <i val="true"/>
        <sz val="9"/>
        <color rgb="FF808080"/>
        <rFont val="Arial"/>
        <family val="0"/>
        <charset val="1"/>
      </rPr>
      <t xml:space="preserve">=</t>
    </r>
    <r>
      <rPr>
        <i val="true"/>
        <sz val="9"/>
        <color rgb="FF808080"/>
        <rFont val="Arial Unicode MS"/>
        <family val="2"/>
        <charset val="1"/>
      </rPr>
      <t xml:space="preserve">需求阶段估计</t>
    </r>
  </si>
  <si>
    <r>
      <rPr>
        <sz val="10"/>
        <rFont val="Arial Unicode MS"/>
        <family val="2"/>
        <charset val="1"/>
      </rPr>
      <t xml:space="preserve">生产率（</t>
    </r>
    <r>
      <rPr>
        <sz val="10"/>
        <rFont val="Arial"/>
        <family val="0"/>
        <charset val="1"/>
      </rPr>
      <t xml:space="preserve">FP/</t>
    </r>
    <r>
      <rPr>
        <sz val="10"/>
        <rFont val="Arial Unicode MS"/>
        <family val="2"/>
        <charset val="1"/>
      </rPr>
      <t xml:space="preserve">人天）</t>
    </r>
  </si>
  <si>
    <r>
      <rPr>
        <i val="true"/>
        <sz val="9"/>
        <color rgb="FF808080"/>
        <rFont val="Arial Unicode MS"/>
        <family val="2"/>
        <charset val="1"/>
      </rPr>
      <t xml:space="preserve">＝实际规模</t>
    </r>
    <r>
      <rPr>
        <i val="true"/>
        <sz val="9"/>
        <color rgb="FF808080"/>
        <rFont val="Arial"/>
        <family val="0"/>
        <charset val="1"/>
      </rPr>
      <t xml:space="preserve">/</t>
    </r>
    <r>
      <rPr>
        <i val="true"/>
        <sz val="9"/>
        <color rgb="FF808080"/>
        <rFont val="Arial Unicode MS"/>
        <family val="2"/>
        <charset val="1"/>
      </rPr>
      <t xml:space="preserve">实际总工作量</t>
    </r>
  </si>
  <si>
    <r>
      <rPr>
        <sz val="10"/>
        <rFont val="Arial Unicode MS"/>
        <family val="2"/>
        <charset val="1"/>
      </rPr>
      <t xml:space="preserve">功能点耗时率（人时</t>
    </r>
    <r>
      <rPr>
        <sz val="10"/>
        <rFont val="Arial"/>
        <family val="0"/>
        <charset val="1"/>
      </rPr>
      <t xml:space="preserve">/FP</t>
    </r>
    <r>
      <rPr>
        <sz val="10"/>
        <rFont val="Arial Unicode MS"/>
        <family val="2"/>
        <charset val="1"/>
      </rPr>
      <t xml:space="preserve">）</t>
    </r>
  </si>
  <si>
    <t xml:space="preserve">原表未给出，同口径推算值</t>
  </si>
  <si>
    <r>
      <rPr>
        <sz val="10"/>
        <rFont val="Arial Unicode MS"/>
        <family val="2"/>
        <charset val="1"/>
      </rPr>
      <t xml:space="preserve">总工期</t>
    </r>
    <r>
      <rPr>
        <sz val="10"/>
        <rFont val="Arial"/>
        <family val="0"/>
        <charset val="1"/>
      </rPr>
      <t xml:space="preserve">-</t>
    </r>
    <r>
      <rPr>
        <sz val="10"/>
        <rFont val="Arial Unicode MS"/>
        <family val="2"/>
        <charset val="1"/>
      </rPr>
      <t xml:space="preserve">计划（天）</t>
    </r>
  </si>
  <si>
    <t xml:space="preserve">阶段天数合计</t>
  </si>
  <si>
    <r>
      <rPr>
        <sz val="10"/>
        <rFont val="Arial Unicode MS"/>
        <family val="2"/>
        <charset val="1"/>
      </rPr>
      <t xml:space="preserve">总工期</t>
    </r>
    <r>
      <rPr>
        <sz val="10"/>
        <rFont val="Arial"/>
        <family val="0"/>
        <charset val="1"/>
      </rPr>
      <t xml:space="preserve">-</t>
    </r>
    <r>
      <rPr>
        <sz val="10"/>
        <rFont val="Arial Unicode MS"/>
        <family val="2"/>
        <charset val="1"/>
      </rPr>
      <t xml:space="preserve">实际（天）</t>
    </r>
  </si>
  <si>
    <r>
      <rPr>
        <i val="true"/>
        <sz val="9"/>
        <color rgb="FF808080"/>
        <rFont val="Arial Unicode MS"/>
        <family val="2"/>
        <charset val="1"/>
      </rPr>
      <t xml:space="preserve">日历跨度为</t>
    </r>
    <r>
      <rPr>
        <i val="true"/>
        <sz val="9"/>
        <color rgb="FF808080"/>
        <rFont val="Arial"/>
        <family val="0"/>
        <charset val="1"/>
      </rPr>
      <t xml:space="preserve">127</t>
    </r>
    <r>
      <rPr>
        <i val="true"/>
        <sz val="9"/>
        <color rgb="FF808080"/>
        <rFont val="Arial Unicode MS"/>
        <family val="2"/>
        <charset val="1"/>
      </rPr>
      <t xml:space="preserve">天，见</t>
    </r>
    <r>
      <rPr>
        <i val="true"/>
        <sz val="9"/>
        <color rgb="FF808080"/>
        <rFont val="Arial"/>
        <family val="0"/>
        <charset val="1"/>
      </rPr>
      <t xml:space="preserve">00</t>
    </r>
    <r>
      <rPr>
        <i val="true"/>
        <sz val="9"/>
        <color rgb="FF808080"/>
        <rFont val="Arial Unicode MS"/>
        <family val="2"/>
        <charset val="1"/>
      </rPr>
      <t xml:space="preserve">说明</t>
    </r>
  </si>
  <si>
    <r>
      <rPr>
        <sz val="10"/>
        <rFont val="Arial Unicode MS"/>
        <family val="2"/>
        <charset val="1"/>
      </rPr>
      <t xml:space="preserve">总成本</t>
    </r>
    <r>
      <rPr>
        <sz val="10"/>
        <rFont val="Arial"/>
        <family val="0"/>
        <charset val="1"/>
      </rPr>
      <t xml:space="preserve">-</t>
    </r>
    <r>
      <rPr>
        <sz val="10"/>
        <rFont val="Arial Unicode MS"/>
        <family val="2"/>
        <charset val="1"/>
      </rPr>
      <t xml:space="preserve">估算（元）</t>
    </r>
  </si>
  <si>
    <r>
      <rPr>
        <sz val="10"/>
        <rFont val="Arial Unicode MS"/>
        <family val="2"/>
        <charset val="1"/>
      </rPr>
      <t xml:space="preserve">总成本</t>
    </r>
    <r>
      <rPr>
        <sz val="10"/>
        <rFont val="Arial"/>
        <family val="0"/>
        <charset val="1"/>
      </rPr>
      <t xml:space="preserve">-</t>
    </r>
    <r>
      <rPr>
        <sz val="10"/>
        <rFont val="Arial Unicode MS"/>
        <family val="2"/>
        <charset val="1"/>
      </rPr>
      <t xml:space="preserve">实际（元）</t>
    </r>
  </si>
  <si>
    <r>
      <rPr>
        <i val="true"/>
        <sz val="9"/>
        <color rgb="FF808080"/>
        <rFont val="Arial Unicode MS"/>
        <family val="2"/>
        <charset val="1"/>
      </rPr>
      <t xml:space="preserve">疑按估算折算而非实采，见</t>
    </r>
    <r>
      <rPr>
        <i val="true"/>
        <sz val="9"/>
        <color rgb="FF808080"/>
        <rFont val="Arial"/>
        <family val="0"/>
        <charset val="1"/>
      </rPr>
      <t xml:space="preserve">00</t>
    </r>
    <r>
      <rPr>
        <i val="true"/>
        <sz val="9"/>
        <color rgb="FF808080"/>
        <rFont val="Arial Unicode MS"/>
        <family val="2"/>
        <charset val="1"/>
      </rPr>
      <t xml:space="preserve">说明</t>
    </r>
  </si>
  <si>
    <r>
      <rPr>
        <sz val="10"/>
        <rFont val="Arial Unicode MS"/>
        <family val="2"/>
        <charset val="1"/>
      </rPr>
      <t xml:space="preserve">人天成本</t>
    </r>
    <r>
      <rPr>
        <sz val="10"/>
        <rFont val="Arial"/>
        <family val="0"/>
        <charset val="1"/>
      </rPr>
      <t xml:space="preserve">-</t>
    </r>
    <r>
      <rPr>
        <sz val="10"/>
        <rFont val="Arial Unicode MS"/>
        <family val="2"/>
        <charset val="1"/>
      </rPr>
      <t xml:space="preserve">实际（元</t>
    </r>
    <r>
      <rPr>
        <sz val="10"/>
        <rFont val="Arial"/>
        <family val="0"/>
        <charset val="1"/>
      </rPr>
      <t xml:space="preserve">/</t>
    </r>
    <r>
      <rPr>
        <sz val="10"/>
        <rFont val="Arial Unicode MS"/>
        <family val="2"/>
        <charset val="1"/>
      </rPr>
      <t xml:space="preserve">人天）</t>
    </r>
  </si>
  <si>
    <r>
      <rPr>
        <i val="true"/>
        <sz val="9"/>
        <color rgb="FF808080"/>
        <rFont val="Arial Unicode MS"/>
        <family val="2"/>
        <charset val="1"/>
      </rPr>
      <t xml:space="preserve">＝实际总成本</t>
    </r>
    <r>
      <rPr>
        <i val="true"/>
        <sz val="9"/>
        <color rgb="FF808080"/>
        <rFont val="Arial"/>
        <family val="0"/>
        <charset val="1"/>
      </rPr>
      <t xml:space="preserve">/</t>
    </r>
    <r>
      <rPr>
        <i val="true"/>
        <sz val="9"/>
        <color rgb="FF808080"/>
        <rFont val="Arial Unicode MS"/>
        <family val="2"/>
        <charset val="1"/>
      </rPr>
      <t xml:space="preserve">实际总工作量</t>
    </r>
  </si>
  <si>
    <r>
      <rPr>
        <sz val="10"/>
        <rFont val="Arial Unicode MS"/>
        <family val="2"/>
        <charset val="1"/>
      </rPr>
      <t xml:space="preserve">单功能点成本</t>
    </r>
    <r>
      <rPr>
        <sz val="10"/>
        <rFont val="Arial"/>
        <family val="0"/>
        <charset val="1"/>
      </rPr>
      <t xml:space="preserve">-</t>
    </r>
    <r>
      <rPr>
        <sz val="10"/>
        <rFont val="Arial Unicode MS"/>
        <family val="2"/>
        <charset val="1"/>
      </rPr>
      <t xml:space="preserve">实际（元</t>
    </r>
    <r>
      <rPr>
        <sz val="10"/>
        <rFont val="Arial"/>
        <family val="0"/>
        <charset val="1"/>
      </rPr>
      <t xml:space="preserve">/FP</t>
    </r>
    <r>
      <rPr>
        <sz val="10"/>
        <rFont val="Arial Unicode MS"/>
        <family val="2"/>
        <charset val="1"/>
      </rPr>
      <t xml:space="preserve">）</t>
    </r>
  </si>
  <si>
    <r>
      <rPr>
        <i val="true"/>
        <sz val="9"/>
        <color rgb="FF808080"/>
        <rFont val="Arial Unicode MS"/>
        <family val="2"/>
        <charset val="1"/>
      </rPr>
      <t xml:space="preserve">＝实际总成本</t>
    </r>
    <r>
      <rPr>
        <i val="true"/>
        <sz val="9"/>
        <color rgb="FF808080"/>
        <rFont val="Arial"/>
        <family val="0"/>
        <charset val="1"/>
      </rPr>
      <t xml:space="preserve">/</t>
    </r>
    <r>
      <rPr>
        <i val="true"/>
        <sz val="9"/>
        <color rgb="FF808080"/>
        <rFont val="Arial Unicode MS"/>
        <family val="2"/>
        <charset val="1"/>
      </rPr>
      <t xml:space="preserve">实际规模</t>
    </r>
  </si>
  <si>
    <r>
      <rPr>
        <b val="true"/>
        <sz val="12"/>
        <color rgb="FF1F4E79"/>
        <rFont val="Arial Unicode MS"/>
        <family val="2"/>
        <charset val="1"/>
      </rPr>
      <t xml:space="preserve">项目</t>
    </r>
    <r>
      <rPr>
        <b val="true"/>
        <sz val="12"/>
        <color rgb="FF1F4E79"/>
        <rFont val="Arial"/>
        <family val="0"/>
        <charset val="1"/>
      </rPr>
      <t xml:space="preserve">2</t>
    </r>
    <r>
      <rPr>
        <b val="true"/>
        <sz val="12"/>
        <color rgb="FF1F4E79"/>
        <rFont val="Arial Unicode MS"/>
        <family val="2"/>
        <charset val="1"/>
      </rPr>
      <t xml:space="preserve">度量数据（度量表</t>
    </r>
    <r>
      <rPr>
        <b val="true"/>
        <sz val="12"/>
        <color rgb="FF1F4E79"/>
        <rFont val="Arial"/>
        <family val="0"/>
        <charset val="1"/>
      </rPr>
      <t xml:space="preserve">2</t>
    </r>
    <r>
      <rPr>
        <b val="true"/>
        <sz val="12"/>
        <color rgb="FF1F4E79"/>
        <rFont val="Arial Unicode MS"/>
        <family val="2"/>
        <charset val="1"/>
      </rPr>
      <t xml:space="preserve">，编号</t>
    </r>
    <r>
      <rPr>
        <b val="true"/>
        <sz val="12"/>
        <color rgb="FF1F4E79"/>
        <rFont val="Arial"/>
        <family val="0"/>
        <charset val="1"/>
      </rPr>
      <t xml:space="preserve">KSSH-1102</t>
    </r>
    <r>
      <rPr>
        <b val="true"/>
        <sz val="12"/>
        <color rgb="FF1F4E79"/>
        <rFont val="Arial Unicode MS"/>
        <family val="2"/>
        <charset val="1"/>
      </rPr>
      <t xml:space="preserve">，</t>
    </r>
    <r>
      <rPr>
        <b val="true"/>
        <sz val="12"/>
        <color rgb="FF1F4E79"/>
        <rFont val="Arial"/>
        <family val="0"/>
        <charset val="1"/>
      </rPr>
      <t xml:space="preserve">V1.5</t>
    </r>
    <r>
      <rPr>
        <b val="true"/>
        <sz val="12"/>
        <color rgb="FF1F4E79"/>
        <rFont val="Arial Unicode MS"/>
        <family val="2"/>
        <charset val="1"/>
      </rPr>
      <t xml:space="preserve">受控）  周期：</t>
    </r>
    <r>
      <rPr>
        <b val="true"/>
        <sz val="12"/>
        <color rgb="FF1F4E79"/>
        <rFont val="Arial"/>
        <family val="0"/>
        <charset val="1"/>
      </rPr>
      <t xml:space="preserve">2024-09-13 ~ 2025-04-02</t>
    </r>
  </si>
  <si>
    <r>
      <rPr>
        <i val="true"/>
        <sz val="9"/>
        <color rgb="FF808080"/>
        <rFont val="Arial Unicode MS"/>
        <family val="2"/>
        <charset val="1"/>
      </rPr>
      <t xml:space="preserve">蓝字</t>
    </r>
    <r>
      <rPr>
        <i val="true"/>
        <sz val="9"/>
        <color rgb="FF808080"/>
        <rFont val="Arial"/>
        <family val="0"/>
        <charset val="1"/>
      </rPr>
      <t xml:space="preserve">=</t>
    </r>
    <r>
      <rPr>
        <i val="true"/>
        <sz val="9"/>
        <color rgb="FF808080"/>
        <rFont val="Arial Unicode MS"/>
        <family val="2"/>
        <charset val="1"/>
      </rPr>
      <t xml:space="preserve">原表计划</t>
    </r>
    <r>
      <rPr>
        <i val="true"/>
        <sz val="9"/>
        <color rgb="FF808080"/>
        <rFont val="Arial"/>
        <family val="0"/>
        <charset val="1"/>
      </rPr>
      <t xml:space="preserve">/</t>
    </r>
    <r>
      <rPr>
        <i val="true"/>
        <sz val="9"/>
        <color rgb="FF808080"/>
        <rFont val="Arial Unicode MS"/>
        <family val="2"/>
        <charset val="1"/>
      </rPr>
      <t xml:space="preserve">实际原值；黑字</t>
    </r>
    <r>
      <rPr>
        <i val="true"/>
        <sz val="9"/>
        <color rgb="FF808080"/>
        <rFont val="Arial"/>
        <family val="0"/>
        <charset val="1"/>
      </rPr>
      <t xml:space="preserve">=</t>
    </r>
    <r>
      <rPr>
        <i val="true"/>
        <sz val="9"/>
        <color rgb="FF808080"/>
        <rFont val="Arial Unicode MS"/>
        <family val="2"/>
        <charset val="1"/>
      </rPr>
      <t xml:space="preserve">公式（分布比例、累计偏差率、加权数、密度、探测率、修复率、效率均为公式）；绿字</t>
    </r>
    <r>
      <rPr>
        <i val="true"/>
        <sz val="9"/>
        <color rgb="FF808080"/>
        <rFont val="Arial"/>
        <family val="0"/>
        <charset val="1"/>
      </rPr>
      <t xml:space="preserve">=</t>
    </r>
    <r>
      <rPr>
        <i val="true"/>
        <sz val="9"/>
        <color rgb="FF808080"/>
        <rFont val="Arial Unicode MS"/>
        <family val="2"/>
        <charset val="1"/>
      </rPr>
      <t xml:space="preserve">引用</t>
    </r>
    <r>
      <rPr>
        <i val="true"/>
        <sz val="9"/>
        <color rgb="FF808080"/>
        <rFont val="Arial"/>
        <family val="0"/>
        <charset val="1"/>
      </rPr>
      <t xml:space="preserve">01</t>
    </r>
    <r>
      <rPr>
        <i val="true"/>
        <sz val="9"/>
        <color rgb="FF808080"/>
        <rFont val="Arial Unicode MS"/>
        <family val="2"/>
        <charset val="1"/>
      </rPr>
      <t xml:space="preserve">参数。</t>
    </r>
  </si>
  <si>
    <t xml:space="preserve">一、工作量度量（单位：人天；计划源项目估算表，实际源里程碑报告）</t>
  </si>
  <si>
    <r>
      <rPr>
        <b val="true"/>
        <sz val="10"/>
        <color rgb="FFFFFFFF"/>
        <rFont val="Arial Unicode MS"/>
        <family val="2"/>
        <charset val="1"/>
      </rPr>
      <t xml:space="preserve">计划工作量</t>
    </r>
    <r>
      <rPr>
        <b val="true"/>
        <sz val="10"/>
        <color rgb="FFFFFFFF"/>
        <rFont val="Arial"/>
        <family val="0"/>
        <charset val="1"/>
      </rPr>
      <t xml:space="preserve">(</t>
    </r>
    <r>
      <rPr>
        <b val="true"/>
        <sz val="10"/>
        <color rgb="FFFFFFFF"/>
        <rFont val="Arial Unicode MS"/>
        <family val="2"/>
        <charset val="1"/>
      </rPr>
      <t xml:space="preserve">人天</t>
    </r>
    <r>
      <rPr>
        <b val="true"/>
        <sz val="10"/>
        <color rgb="FFFFFFFF"/>
        <rFont val="Arial"/>
        <family val="0"/>
        <charset val="1"/>
      </rPr>
      <t xml:space="preserve">)</t>
    </r>
  </si>
  <si>
    <r>
      <rPr>
        <b val="true"/>
        <sz val="10"/>
        <color rgb="FFFFFFFF"/>
        <rFont val="Arial Unicode MS"/>
        <family val="2"/>
        <charset val="1"/>
      </rPr>
      <t xml:space="preserve">实际工作量</t>
    </r>
    <r>
      <rPr>
        <b val="true"/>
        <sz val="10"/>
        <color rgb="FFFFFFFF"/>
        <rFont val="Arial"/>
        <family val="0"/>
        <charset val="1"/>
      </rPr>
      <t xml:space="preserve">(</t>
    </r>
    <r>
      <rPr>
        <b val="true"/>
        <sz val="10"/>
        <color rgb="FFFFFFFF"/>
        <rFont val="Arial Unicode MS"/>
        <family val="2"/>
        <charset val="1"/>
      </rPr>
      <t xml:space="preserve">人天</t>
    </r>
    <r>
      <rPr>
        <b val="true"/>
        <sz val="10"/>
        <color rgb="FFFFFFFF"/>
        <rFont val="Arial"/>
        <family val="0"/>
        <charset val="1"/>
      </rPr>
      <t xml:space="preserve">)</t>
    </r>
  </si>
  <si>
    <t xml:space="preserve">分布比例</t>
  </si>
  <si>
    <t xml:space="preserve">累计工作量偏差率</t>
  </si>
  <si>
    <t xml:space="preserve">控制范围</t>
  </si>
  <si>
    <t xml:space="preserve">结果</t>
  </si>
  <si>
    <t xml:space="preserve">立项计划</t>
  </si>
  <si>
    <t xml:space="preserve">结果（原表）：工作量偏差满足控制范围，各阶段工作量分布比例也比较合理</t>
  </si>
  <si>
    <t xml:space="preserve">需求开发</t>
  </si>
  <si>
    <t xml:space="preserve">系统设计</t>
  </si>
  <si>
    <t xml:space="preserve">编码实现</t>
  </si>
  <si>
    <t xml:space="preserve">软件测试</t>
  </si>
  <si>
    <t xml:space="preserve">交付验收</t>
  </si>
  <si>
    <t xml:space="preserve">二、规模及效率</t>
  </si>
  <si>
    <r>
      <rPr>
        <b val="true"/>
        <sz val="10"/>
        <color rgb="FFFFFFFF"/>
        <rFont val="Arial Unicode MS"/>
        <family val="2"/>
        <charset val="1"/>
      </rPr>
      <t xml:space="preserve">估计规模</t>
    </r>
    <r>
      <rPr>
        <b val="true"/>
        <sz val="10"/>
        <color rgb="FFFFFFFF"/>
        <rFont val="Arial"/>
        <family val="0"/>
        <charset val="1"/>
      </rPr>
      <t xml:space="preserve">(FP)</t>
    </r>
  </si>
  <si>
    <r>
      <rPr>
        <b val="true"/>
        <sz val="10"/>
        <color rgb="FFFFFFFF"/>
        <rFont val="Arial Unicode MS"/>
        <family val="2"/>
        <charset val="1"/>
      </rPr>
      <t xml:space="preserve">功能点耗时率</t>
    </r>
    <r>
      <rPr>
        <b val="true"/>
        <sz val="10"/>
        <color rgb="FFFFFFFF"/>
        <rFont val="Arial"/>
        <family val="0"/>
        <charset val="1"/>
      </rPr>
      <t xml:space="preserve">(</t>
    </r>
    <r>
      <rPr>
        <b val="true"/>
        <sz val="10"/>
        <color rgb="FFFFFFFF"/>
        <rFont val="Arial Unicode MS"/>
        <family val="2"/>
        <charset val="1"/>
      </rPr>
      <t xml:space="preserve">人时</t>
    </r>
    <r>
      <rPr>
        <b val="true"/>
        <sz val="10"/>
        <color rgb="FFFFFFFF"/>
        <rFont val="Arial"/>
        <family val="0"/>
        <charset val="1"/>
      </rPr>
      <t xml:space="preserve">/FP)</t>
    </r>
  </si>
  <si>
    <t xml:space="preserve">目标范围</t>
  </si>
  <si>
    <r>
      <rPr>
        <sz val="10"/>
        <rFont val="Arial Unicode MS"/>
        <family val="2"/>
        <charset val="1"/>
      </rPr>
      <t xml:space="preserve">结果（原表）：功能点耗时率为</t>
    </r>
    <r>
      <rPr>
        <sz val="10"/>
        <rFont val="Arial"/>
        <family val="0"/>
        <charset val="1"/>
      </rPr>
      <t xml:space="preserve">7.07</t>
    </r>
    <r>
      <rPr>
        <sz val="10"/>
        <rFont val="Arial Unicode MS"/>
        <family val="2"/>
        <charset val="1"/>
      </rPr>
      <t xml:space="preserve">人时</t>
    </r>
    <r>
      <rPr>
        <sz val="10"/>
        <rFont val="Arial"/>
        <family val="0"/>
        <charset val="1"/>
      </rPr>
      <t xml:space="preserve">/FP,</t>
    </r>
    <r>
      <rPr>
        <sz val="10"/>
        <rFont val="Arial Unicode MS"/>
        <family val="2"/>
        <charset val="1"/>
      </rPr>
      <t xml:space="preserve">表现良好，达到项目度量目标</t>
    </r>
  </si>
  <si>
    <r>
      <rPr>
        <b val="true"/>
        <sz val="10"/>
        <color rgb="FF1F4E79"/>
        <rFont val="Arial Unicode MS"/>
        <family val="2"/>
        <charset val="1"/>
      </rPr>
      <t xml:space="preserve">三、工期度量（单位：天，工作日口径已扣节假日；日历跨度计划</t>
    </r>
    <r>
      <rPr>
        <b val="true"/>
        <sz val="10"/>
        <color rgb="FF1F4E79"/>
        <rFont val="Arial"/>
        <family val="0"/>
        <charset val="1"/>
      </rPr>
      <t xml:space="preserve">189</t>
    </r>
    <r>
      <rPr>
        <b val="true"/>
        <sz val="10"/>
        <color rgb="FF1F4E79"/>
        <rFont val="Arial Unicode MS"/>
        <family val="2"/>
        <charset val="1"/>
      </rPr>
      <t xml:space="preserve">天</t>
    </r>
    <r>
      <rPr>
        <b val="true"/>
        <sz val="10"/>
        <color rgb="FF1F4E79"/>
        <rFont val="Arial"/>
        <family val="0"/>
        <charset val="1"/>
      </rPr>
      <t xml:space="preserve">/</t>
    </r>
    <r>
      <rPr>
        <b val="true"/>
        <sz val="10"/>
        <color rgb="FF1F4E79"/>
        <rFont val="Arial Unicode MS"/>
        <family val="2"/>
        <charset val="1"/>
      </rPr>
      <t xml:space="preserve">实际</t>
    </r>
    <r>
      <rPr>
        <b val="true"/>
        <sz val="10"/>
        <color rgb="FF1F4E79"/>
        <rFont val="Arial"/>
        <family val="0"/>
        <charset val="1"/>
      </rPr>
      <t xml:space="preserve">202</t>
    </r>
    <r>
      <rPr>
        <b val="true"/>
        <sz val="10"/>
        <color rgb="FF1F4E79"/>
        <rFont val="Arial Unicode MS"/>
        <family val="2"/>
        <charset val="1"/>
      </rPr>
      <t xml:space="preserve">天）</t>
    </r>
  </si>
  <si>
    <r>
      <rPr>
        <b val="true"/>
        <sz val="10"/>
        <color rgb="FFFFFFFF"/>
        <rFont val="Arial Unicode MS"/>
        <family val="2"/>
        <charset val="1"/>
      </rPr>
      <t xml:space="preserve">计划工期</t>
    </r>
    <r>
      <rPr>
        <b val="true"/>
        <sz val="10"/>
        <color rgb="FFFFFFFF"/>
        <rFont val="Arial"/>
        <family val="0"/>
        <charset val="1"/>
      </rPr>
      <t xml:space="preserve">(</t>
    </r>
    <r>
      <rPr>
        <b val="true"/>
        <sz val="10"/>
        <color rgb="FFFFFFFF"/>
        <rFont val="Arial Unicode MS"/>
        <family val="2"/>
        <charset val="1"/>
      </rPr>
      <t xml:space="preserve">天</t>
    </r>
    <r>
      <rPr>
        <b val="true"/>
        <sz val="10"/>
        <color rgb="FFFFFFFF"/>
        <rFont val="Arial"/>
        <family val="0"/>
        <charset val="1"/>
      </rPr>
      <t xml:space="preserve">)</t>
    </r>
  </si>
  <si>
    <r>
      <rPr>
        <b val="true"/>
        <sz val="10"/>
        <color rgb="FFFFFFFF"/>
        <rFont val="Arial Unicode MS"/>
        <family val="2"/>
        <charset val="1"/>
      </rPr>
      <t xml:space="preserve">计划累计</t>
    </r>
    <r>
      <rPr>
        <b val="true"/>
        <sz val="10"/>
        <color rgb="FFFFFFFF"/>
        <rFont val="Arial"/>
        <family val="0"/>
        <charset val="1"/>
      </rPr>
      <t xml:space="preserve">(</t>
    </r>
    <r>
      <rPr>
        <b val="true"/>
        <sz val="10"/>
        <color rgb="FFFFFFFF"/>
        <rFont val="Arial Unicode MS"/>
        <family val="2"/>
        <charset val="1"/>
      </rPr>
      <t xml:space="preserve">天</t>
    </r>
    <r>
      <rPr>
        <b val="true"/>
        <sz val="10"/>
        <color rgb="FFFFFFFF"/>
        <rFont val="Arial"/>
        <family val="0"/>
        <charset val="1"/>
      </rPr>
      <t xml:space="preserve">)</t>
    </r>
  </si>
  <si>
    <r>
      <rPr>
        <b val="true"/>
        <sz val="10"/>
        <color rgb="FFFFFFFF"/>
        <rFont val="Arial Unicode MS"/>
        <family val="2"/>
        <charset val="1"/>
      </rPr>
      <t xml:space="preserve">实际工期</t>
    </r>
    <r>
      <rPr>
        <b val="true"/>
        <sz val="10"/>
        <color rgb="FFFFFFFF"/>
        <rFont val="Arial"/>
        <family val="0"/>
        <charset val="1"/>
      </rPr>
      <t xml:space="preserve">(</t>
    </r>
    <r>
      <rPr>
        <b val="true"/>
        <sz val="10"/>
        <color rgb="FFFFFFFF"/>
        <rFont val="Arial Unicode MS"/>
        <family val="2"/>
        <charset val="1"/>
      </rPr>
      <t xml:space="preserve">天</t>
    </r>
    <r>
      <rPr>
        <b val="true"/>
        <sz val="10"/>
        <color rgb="FFFFFFFF"/>
        <rFont val="Arial"/>
        <family val="0"/>
        <charset val="1"/>
      </rPr>
      <t xml:space="preserve">)</t>
    </r>
  </si>
  <si>
    <r>
      <rPr>
        <b val="true"/>
        <sz val="10"/>
        <color rgb="FFFFFFFF"/>
        <rFont val="Arial Unicode MS"/>
        <family val="2"/>
        <charset val="1"/>
      </rPr>
      <t xml:space="preserve">实际累计</t>
    </r>
    <r>
      <rPr>
        <b val="true"/>
        <sz val="10"/>
        <color rgb="FFFFFFFF"/>
        <rFont val="Arial"/>
        <family val="0"/>
        <charset val="1"/>
      </rPr>
      <t xml:space="preserve">(</t>
    </r>
    <r>
      <rPr>
        <b val="true"/>
        <sz val="10"/>
        <color rgb="FFFFFFFF"/>
        <rFont val="Arial Unicode MS"/>
        <family val="2"/>
        <charset val="1"/>
      </rPr>
      <t xml:space="preserve">天</t>
    </r>
    <r>
      <rPr>
        <b val="true"/>
        <sz val="10"/>
        <color rgb="FFFFFFFF"/>
        <rFont val="Arial"/>
        <family val="0"/>
        <charset val="1"/>
      </rPr>
      <t xml:space="preserve">)</t>
    </r>
  </si>
  <si>
    <t xml:space="preserve">累计工期偏差率</t>
  </si>
  <si>
    <t xml:space="preserve">2024-09-13</t>
  </si>
  <si>
    <t xml:space="preserve">2024-10-09</t>
  </si>
  <si>
    <t xml:space="preserve">结果（原表）：各阶段工期偏差满足控制范围，在合同规定期限内完成项目</t>
  </si>
  <si>
    <t xml:space="preserve">2024-10-10</t>
  </si>
  <si>
    <t xml:space="preserve">2024-11-01</t>
  </si>
  <si>
    <t xml:space="preserve">2024-11-05</t>
  </si>
  <si>
    <t xml:space="preserve">2024-11-04</t>
  </si>
  <si>
    <t xml:space="preserve">2024-12-02</t>
  </si>
  <si>
    <t xml:space="preserve">2024-11-06</t>
  </si>
  <si>
    <t xml:space="preserve">2024-12-09</t>
  </si>
  <si>
    <t xml:space="preserve">2024-12-03</t>
  </si>
  <si>
    <t xml:space="preserve">2025-01-08</t>
  </si>
  <si>
    <t xml:space="preserve">2024-12-10</t>
  </si>
  <si>
    <t xml:space="preserve">2025-01-17</t>
  </si>
  <si>
    <t xml:space="preserve">2025-01-09</t>
  </si>
  <si>
    <t xml:space="preserve">2025-02-27</t>
  </si>
  <si>
    <t xml:space="preserve">2025-01-20</t>
  </si>
  <si>
    <t xml:space="preserve">2025-03-07</t>
  </si>
  <si>
    <t xml:space="preserve">2025-02-28</t>
  </si>
  <si>
    <t xml:space="preserve">2025-03-20</t>
  </si>
  <si>
    <t xml:space="preserve">2025-03-10</t>
  </si>
  <si>
    <t xml:space="preserve">2025-04-02</t>
  </si>
  <si>
    <r>
      <rPr>
        <i val="true"/>
        <sz val="9"/>
        <color rgb="FF808080"/>
        <rFont val="Arial Unicode MS"/>
        <family val="2"/>
        <charset val="1"/>
      </rPr>
      <t xml:space="preserve">注：工期为工作日口径（已扣节假日，日历跨度计划</t>
    </r>
    <r>
      <rPr>
        <i val="true"/>
        <sz val="9"/>
        <color rgb="FF808080"/>
        <rFont val="Arial"/>
        <family val="0"/>
        <charset val="1"/>
      </rPr>
      <t xml:space="preserve">189</t>
    </r>
    <r>
      <rPr>
        <i val="true"/>
        <sz val="9"/>
        <color rgb="FF808080"/>
        <rFont val="Arial Unicode MS"/>
        <family val="2"/>
        <charset val="1"/>
      </rPr>
      <t xml:space="preserve">天</t>
    </r>
    <r>
      <rPr>
        <i val="true"/>
        <sz val="9"/>
        <color rgb="FF808080"/>
        <rFont val="Arial"/>
        <family val="0"/>
        <charset val="1"/>
      </rPr>
      <t xml:space="preserve">/</t>
    </r>
    <r>
      <rPr>
        <i val="true"/>
        <sz val="9"/>
        <color rgb="FF808080"/>
        <rFont val="Arial Unicode MS"/>
        <family val="2"/>
        <charset val="1"/>
      </rPr>
      <t xml:space="preserve">实际</t>
    </r>
    <r>
      <rPr>
        <i val="true"/>
        <sz val="9"/>
        <color rgb="FF808080"/>
        <rFont val="Arial"/>
        <family val="0"/>
        <charset val="1"/>
      </rPr>
      <t xml:space="preserve">202</t>
    </r>
    <r>
      <rPr>
        <i val="true"/>
        <sz val="9"/>
        <color rgb="FF808080"/>
        <rFont val="Arial Unicode MS"/>
        <family val="2"/>
        <charset val="1"/>
      </rPr>
      <t xml:space="preserve">天）；总计行工期偏差率原表未单列，取交付验收累计值</t>
    </r>
    <r>
      <rPr>
        <i val="true"/>
        <sz val="9"/>
        <color rgb="FF808080"/>
        <rFont val="Arial"/>
        <family val="0"/>
        <charset val="1"/>
      </rPr>
      <t xml:space="preserve">0.0743801652892562</t>
    </r>
  </si>
  <si>
    <r>
      <rPr>
        <b val="true"/>
        <sz val="10"/>
        <color rgb="FF1F4E79"/>
        <rFont val="Arial Unicode MS"/>
        <family val="2"/>
        <charset val="1"/>
      </rPr>
      <t xml:space="preserve">四、成本度量（单位：元；计划成本</t>
    </r>
    <r>
      <rPr>
        <b val="true"/>
        <sz val="10"/>
        <color rgb="FF1F4E79"/>
        <rFont val="Arial"/>
        <family val="0"/>
        <charset val="1"/>
      </rPr>
      <t xml:space="preserve">=</t>
    </r>
    <r>
      <rPr>
        <b val="true"/>
        <sz val="10"/>
        <color rgb="FF1F4E79"/>
        <rFont val="Arial Unicode MS"/>
        <family val="2"/>
        <charset val="1"/>
      </rPr>
      <t xml:space="preserve">计划工作量</t>
    </r>
    <r>
      <rPr>
        <b val="true"/>
        <sz val="10"/>
        <color rgb="FF1F4E79"/>
        <rFont val="Arial"/>
        <family val="0"/>
        <charset val="1"/>
      </rPr>
      <t xml:space="preserve">×1200</t>
    </r>
    <r>
      <rPr>
        <b val="true"/>
        <sz val="10"/>
        <color rgb="FF1F4E79"/>
        <rFont val="Arial Unicode MS"/>
        <family val="2"/>
        <charset val="1"/>
      </rPr>
      <t xml:space="preserve">元</t>
    </r>
    <r>
      <rPr>
        <b val="true"/>
        <sz val="10"/>
        <color rgb="FF1F4E79"/>
        <rFont val="Arial"/>
        <family val="0"/>
        <charset val="1"/>
      </rPr>
      <t xml:space="preserve">/</t>
    </r>
    <r>
      <rPr>
        <b val="true"/>
        <sz val="10"/>
        <color rgb="FF1F4E79"/>
        <rFont val="Arial Unicode MS"/>
        <family val="2"/>
        <charset val="1"/>
      </rPr>
      <t xml:space="preserve">人天推导值，实际为独立采集）</t>
    </r>
  </si>
  <si>
    <r>
      <rPr>
        <b val="true"/>
        <sz val="10"/>
        <color rgb="FFFFFFFF"/>
        <rFont val="Arial Unicode MS"/>
        <family val="2"/>
        <charset val="1"/>
      </rPr>
      <t xml:space="preserve">计划成本</t>
    </r>
    <r>
      <rPr>
        <b val="true"/>
        <sz val="10"/>
        <color rgb="FFFFFFFF"/>
        <rFont val="Arial"/>
        <family val="0"/>
        <charset val="1"/>
      </rPr>
      <t xml:space="preserve">(</t>
    </r>
    <r>
      <rPr>
        <b val="true"/>
        <sz val="10"/>
        <color rgb="FFFFFFFF"/>
        <rFont val="Arial Unicode MS"/>
        <family val="2"/>
        <charset val="1"/>
      </rPr>
      <t xml:space="preserve">元</t>
    </r>
    <r>
      <rPr>
        <b val="true"/>
        <sz val="10"/>
        <color rgb="FFFFFFFF"/>
        <rFont val="Arial"/>
        <family val="0"/>
        <charset val="1"/>
      </rPr>
      <t xml:space="preserve">)</t>
    </r>
  </si>
  <si>
    <t xml:space="preserve">累计偏差率</t>
  </si>
  <si>
    <r>
      <rPr>
        <sz val="10"/>
        <rFont val="Arial Unicode MS"/>
        <family val="2"/>
        <charset val="1"/>
      </rPr>
      <t xml:space="preserve">结果（原表）：各阶段工期偏差满足控制范围，总工期偏差率满足目标范围，项目度量目标达成（原表结论文字如此，描述对象疑为工期，见</t>
    </r>
    <r>
      <rPr>
        <sz val="10"/>
        <rFont val="Arial"/>
        <family val="0"/>
        <charset val="1"/>
      </rPr>
      <t xml:space="preserve">dataQualityNotes</t>
    </r>
    <r>
      <rPr>
        <sz val="10"/>
        <rFont val="Arial Unicode MS"/>
        <family val="2"/>
        <charset val="1"/>
      </rPr>
      <t xml:space="preserve">）</t>
    </r>
  </si>
  <si>
    <t xml:space="preserve">注：原表成本「结果」栏文字描述对象疑为工期（复制粘贴笔误），照录备考。</t>
  </si>
  <si>
    <r>
      <rPr>
        <b val="true"/>
        <sz val="10"/>
        <color rgb="FF1F4E79"/>
        <rFont val="Arial Unicode MS"/>
        <family val="2"/>
        <charset val="1"/>
      </rPr>
      <t xml:space="preserve">五、测试缺陷度量（加权权重引用</t>
    </r>
    <r>
      <rPr>
        <b val="true"/>
        <sz val="10"/>
        <color rgb="FF1F4E79"/>
        <rFont val="Arial"/>
        <family val="0"/>
        <charset val="1"/>
      </rPr>
      <t xml:space="preserve">01</t>
    </r>
    <r>
      <rPr>
        <b val="true"/>
        <sz val="10"/>
        <color rgb="FF1F4E79"/>
        <rFont val="Arial Unicode MS"/>
        <family val="2"/>
        <charset val="1"/>
      </rPr>
      <t xml:space="preserve">参数：致命</t>
    </r>
    <r>
      <rPr>
        <b val="true"/>
        <sz val="10"/>
        <color rgb="FF1F4E79"/>
        <rFont val="Arial"/>
        <family val="0"/>
        <charset val="1"/>
      </rPr>
      <t xml:space="preserve">×8</t>
    </r>
    <r>
      <rPr>
        <b val="true"/>
        <sz val="10"/>
        <color rgb="FF1F4E79"/>
        <rFont val="Arial Unicode MS"/>
        <family val="2"/>
        <charset val="1"/>
      </rPr>
      <t xml:space="preserve">、严重</t>
    </r>
    <r>
      <rPr>
        <b val="true"/>
        <sz val="10"/>
        <color rgb="FF1F4E79"/>
        <rFont val="Arial"/>
        <family val="0"/>
        <charset val="1"/>
      </rPr>
      <t xml:space="preserve">×4</t>
    </r>
    <r>
      <rPr>
        <b val="true"/>
        <sz val="10"/>
        <color rgb="FF1F4E79"/>
        <rFont val="Arial Unicode MS"/>
        <family val="2"/>
        <charset val="1"/>
      </rPr>
      <t xml:space="preserve">、一般</t>
    </r>
    <r>
      <rPr>
        <b val="true"/>
        <sz val="10"/>
        <color rgb="FF1F4E79"/>
        <rFont val="Arial"/>
        <family val="0"/>
        <charset val="1"/>
      </rPr>
      <t xml:space="preserve">×1</t>
    </r>
    <r>
      <rPr>
        <b val="true"/>
        <sz val="10"/>
        <color rgb="FF1F4E79"/>
        <rFont val="Arial Unicode MS"/>
        <family val="2"/>
        <charset val="1"/>
      </rPr>
      <t xml:space="preserve">、细微</t>
    </r>
    <r>
      <rPr>
        <b val="true"/>
        <sz val="10"/>
        <color rgb="FF1F4E79"/>
        <rFont val="Arial"/>
        <family val="0"/>
        <charset val="1"/>
      </rPr>
      <t xml:space="preserve">×0.5</t>
    </r>
    <r>
      <rPr>
        <b val="true"/>
        <sz val="10"/>
        <color rgb="FF1F4E79"/>
        <rFont val="Arial Unicode MS"/>
        <family val="2"/>
        <charset val="1"/>
      </rPr>
      <t xml:space="preserve">，由原始数据反推核对一致）</t>
    </r>
  </si>
  <si>
    <t xml:space="preserve">测试类型</t>
  </si>
  <si>
    <t xml:space="preserve">致命</t>
  </si>
  <si>
    <t xml:space="preserve">严重</t>
  </si>
  <si>
    <t xml:space="preserve">一般</t>
  </si>
  <si>
    <t xml:space="preserve">细微</t>
  </si>
  <si>
    <r>
      <rPr>
        <b val="true"/>
        <sz val="10"/>
        <color rgb="FFFFFFFF"/>
        <rFont val="Arial Unicode MS"/>
        <family val="2"/>
        <charset val="1"/>
      </rPr>
      <t xml:space="preserve">检出总数</t>
    </r>
    <r>
      <rPr>
        <b val="true"/>
        <sz val="10"/>
        <color rgb="FFFFFFFF"/>
        <rFont val="Arial"/>
        <family val="0"/>
        <charset val="1"/>
      </rPr>
      <t xml:space="preserve">(</t>
    </r>
    <r>
      <rPr>
        <b val="true"/>
        <sz val="10"/>
        <color rgb="FFFFFFFF"/>
        <rFont val="Arial Unicode MS"/>
        <family val="2"/>
        <charset val="1"/>
      </rPr>
      <t xml:space="preserve">个</t>
    </r>
    <r>
      <rPr>
        <b val="true"/>
        <sz val="10"/>
        <color rgb="FFFFFFFF"/>
        <rFont val="Arial"/>
        <family val="0"/>
        <charset val="1"/>
      </rPr>
      <t xml:space="preserve">)</t>
    </r>
  </si>
  <si>
    <r>
      <rPr>
        <b val="true"/>
        <sz val="10"/>
        <color rgb="FFFFFFFF"/>
        <rFont val="Arial Unicode MS"/>
        <family val="2"/>
        <charset val="1"/>
      </rPr>
      <t xml:space="preserve">关闭缺陷数</t>
    </r>
    <r>
      <rPr>
        <b val="true"/>
        <sz val="10"/>
        <color rgb="FFFFFFFF"/>
        <rFont val="Arial"/>
        <family val="0"/>
        <charset val="1"/>
      </rPr>
      <t xml:space="preserve">(</t>
    </r>
    <r>
      <rPr>
        <b val="true"/>
        <sz val="10"/>
        <color rgb="FFFFFFFF"/>
        <rFont val="Arial Unicode MS"/>
        <family val="2"/>
        <charset val="1"/>
      </rPr>
      <t xml:space="preserve">个</t>
    </r>
    <r>
      <rPr>
        <b val="true"/>
        <sz val="10"/>
        <color rgb="FFFFFFFF"/>
        <rFont val="Arial"/>
        <family val="0"/>
        <charset val="1"/>
      </rPr>
      <t xml:space="preserve">)</t>
    </r>
  </si>
  <si>
    <t xml:space="preserve">缺陷修复率</t>
  </si>
  <si>
    <t xml:space="preserve">缺陷加权数</t>
  </si>
  <si>
    <r>
      <rPr>
        <b val="true"/>
        <sz val="10"/>
        <color rgb="FFFFFFFF"/>
        <rFont val="Arial Unicode MS"/>
        <family val="2"/>
        <charset val="1"/>
      </rPr>
      <t xml:space="preserve">缺陷密度</t>
    </r>
    <r>
      <rPr>
        <b val="true"/>
        <sz val="10"/>
        <color rgb="FFFFFFFF"/>
        <rFont val="Arial"/>
        <family val="0"/>
        <charset val="1"/>
      </rPr>
      <t xml:space="preserve">(</t>
    </r>
    <r>
      <rPr>
        <b val="true"/>
        <sz val="10"/>
        <color rgb="FFFFFFFF"/>
        <rFont val="Arial Unicode MS"/>
        <family val="2"/>
        <charset val="1"/>
      </rPr>
      <t xml:space="preserve">个</t>
    </r>
    <r>
      <rPr>
        <b val="true"/>
        <sz val="10"/>
        <color rgb="FFFFFFFF"/>
        <rFont val="Arial"/>
        <family val="0"/>
        <charset val="1"/>
      </rPr>
      <t xml:space="preserve">/FP)</t>
    </r>
  </si>
  <si>
    <t xml:space="preserve">缺陷探测率</t>
  </si>
  <si>
    <t xml:space="preserve">目标值</t>
  </si>
  <si>
    <t xml:space="preserve">集成与系统测试</t>
  </si>
  <si>
    <t xml:space="preserve">结果（原表）：缺陷探测率满足目标范围，项目度量目标达成</t>
  </si>
  <si>
    <t xml:space="preserve">验收测试</t>
  </si>
  <si>
    <r>
      <rPr>
        <i val="true"/>
        <sz val="9"/>
        <color rgb="FF808080"/>
        <rFont val="Arial Unicode MS"/>
        <family val="2"/>
        <charset val="1"/>
      </rPr>
      <t xml:space="preserve">注：缺陷探测率</t>
    </r>
    <r>
      <rPr>
        <i val="true"/>
        <sz val="9"/>
        <color rgb="FF808080"/>
        <rFont val="Arial"/>
        <family val="0"/>
        <charset val="1"/>
      </rPr>
      <t xml:space="preserve">=</t>
    </r>
    <r>
      <rPr>
        <i val="true"/>
        <sz val="9"/>
        <color rgb="FF808080"/>
        <rFont val="Arial Unicode MS"/>
        <family val="2"/>
        <charset val="1"/>
      </rPr>
      <t xml:space="preserve">集成与系统测试加权数</t>
    </r>
    <r>
      <rPr>
        <i val="true"/>
        <sz val="9"/>
        <color rgb="FF808080"/>
        <rFont val="Arial"/>
        <family val="0"/>
        <charset val="1"/>
      </rPr>
      <t xml:space="preserve">/</t>
    </r>
    <r>
      <rPr>
        <i val="true"/>
        <sz val="9"/>
        <color rgb="FF808080"/>
        <rFont val="Arial Unicode MS"/>
        <family val="2"/>
        <charset val="1"/>
      </rPr>
      <t xml:space="preserve">总加权数（仅该行计算，验收测试与总计行原表空缺）；缺陷密度</t>
    </r>
    <r>
      <rPr>
        <i val="true"/>
        <sz val="9"/>
        <color rgb="FF808080"/>
        <rFont val="Arial"/>
        <family val="0"/>
        <charset val="1"/>
      </rPr>
      <t xml:space="preserve">=</t>
    </r>
    <r>
      <rPr>
        <i val="true"/>
        <sz val="9"/>
        <color rgb="FF808080"/>
        <rFont val="Arial Unicode MS"/>
        <family val="2"/>
        <charset val="1"/>
      </rPr>
      <t xml:space="preserve">加权数</t>
    </r>
    <r>
      <rPr>
        <i val="true"/>
        <sz val="9"/>
        <color rgb="FF808080"/>
        <rFont val="Arial"/>
        <family val="0"/>
        <charset val="1"/>
      </rPr>
      <t xml:space="preserve">/</t>
    </r>
    <r>
      <rPr>
        <i val="true"/>
        <sz val="9"/>
        <color rgb="FF808080"/>
        <rFont val="Arial Unicode MS"/>
        <family val="2"/>
        <charset val="1"/>
      </rPr>
      <t xml:space="preserve">实际规模</t>
    </r>
    <r>
      <rPr>
        <i val="true"/>
        <sz val="9"/>
        <color rgb="FF808080"/>
        <rFont val="Arial"/>
        <family val="0"/>
        <charset val="1"/>
      </rPr>
      <t xml:space="preserve">FP</t>
    </r>
    <r>
      <rPr>
        <i val="true"/>
        <sz val="9"/>
        <color rgb="FF808080"/>
        <rFont val="Arial Unicode MS"/>
        <family val="2"/>
        <charset val="1"/>
      </rPr>
      <t xml:space="preserve">。</t>
    </r>
  </si>
  <si>
    <t xml:space="preserve">六、评审缺陷度量</t>
  </si>
  <si>
    <t xml:space="preserve">轻微</t>
  </si>
  <si>
    <t xml:space="preserve">缺陷总数</t>
  </si>
  <si>
    <t xml:space="preserve">已关闭</t>
  </si>
  <si>
    <r>
      <rPr>
        <b val="true"/>
        <sz val="10"/>
        <color rgb="FFFFFFFF"/>
        <rFont val="Arial Unicode MS"/>
        <family val="2"/>
        <charset val="1"/>
      </rPr>
      <t xml:space="preserve">评审用时</t>
    </r>
    <r>
      <rPr>
        <b val="true"/>
        <sz val="10"/>
        <color rgb="FFFFFFFF"/>
        <rFont val="Arial"/>
        <family val="0"/>
        <charset val="1"/>
      </rPr>
      <t xml:space="preserve">(</t>
    </r>
    <r>
      <rPr>
        <b val="true"/>
        <sz val="10"/>
        <color rgb="FFFFFFFF"/>
        <rFont val="Arial Unicode MS"/>
        <family val="2"/>
        <charset val="1"/>
      </rPr>
      <t xml:space="preserve">人时</t>
    </r>
    <r>
      <rPr>
        <b val="true"/>
        <sz val="10"/>
        <color rgb="FFFFFFFF"/>
        <rFont val="Arial"/>
        <family val="0"/>
        <charset val="1"/>
      </rPr>
      <t xml:space="preserve">)</t>
    </r>
  </si>
  <si>
    <r>
      <rPr>
        <b val="true"/>
        <sz val="10"/>
        <color rgb="FFFFFFFF"/>
        <rFont val="Arial Unicode MS"/>
        <family val="2"/>
        <charset val="1"/>
      </rPr>
      <t xml:space="preserve">评审效率</t>
    </r>
    <r>
      <rPr>
        <b val="true"/>
        <sz val="10"/>
        <color rgb="FFFFFFFF"/>
        <rFont val="Arial"/>
        <family val="0"/>
        <charset val="1"/>
      </rPr>
      <t xml:space="preserve">(</t>
    </r>
    <r>
      <rPr>
        <b val="true"/>
        <sz val="10"/>
        <color rgb="FFFFFFFF"/>
        <rFont val="Arial Unicode MS"/>
        <family val="2"/>
        <charset val="1"/>
      </rPr>
      <t xml:space="preserve">个</t>
    </r>
    <r>
      <rPr>
        <b val="true"/>
        <sz val="10"/>
        <color rgb="FFFFFFFF"/>
        <rFont val="Arial"/>
        <family val="0"/>
        <charset val="1"/>
      </rPr>
      <t xml:space="preserve">/</t>
    </r>
    <r>
      <rPr>
        <b val="true"/>
        <sz val="10"/>
        <color rgb="FFFFFFFF"/>
        <rFont val="Arial Unicode MS"/>
        <family val="2"/>
        <charset val="1"/>
      </rPr>
      <t xml:space="preserve">人时</t>
    </r>
    <r>
      <rPr>
        <b val="true"/>
        <sz val="10"/>
        <color rgb="FFFFFFFF"/>
        <rFont val="Arial"/>
        <family val="0"/>
        <charset val="1"/>
      </rPr>
      <t xml:space="preserve">)</t>
    </r>
  </si>
  <si>
    <r>
      <rPr>
        <sz val="10"/>
        <rFont val="Arial Unicode MS"/>
        <family val="2"/>
        <charset val="1"/>
      </rPr>
      <t xml:space="preserve">结果（原表）：评审共发现</t>
    </r>
    <r>
      <rPr>
        <sz val="10"/>
        <rFont val="Arial"/>
        <family val="0"/>
        <charset val="1"/>
      </rPr>
      <t xml:space="preserve">25</t>
    </r>
    <r>
      <rPr>
        <sz val="10"/>
        <rFont val="Arial Unicode MS"/>
        <family val="2"/>
        <charset val="1"/>
      </rPr>
      <t xml:space="preserve">个缺陷，所有缺陷均已修复，本项目评审效率为</t>
    </r>
    <r>
      <rPr>
        <sz val="10"/>
        <rFont val="Arial"/>
        <family val="0"/>
        <charset val="1"/>
      </rPr>
      <t xml:space="preserve">0.76</t>
    </r>
    <r>
      <rPr>
        <sz val="10"/>
        <rFont val="Arial Unicode MS"/>
        <family val="2"/>
        <charset val="1"/>
      </rPr>
      <t xml:space="preserve">，满足项目度量目标</t>
    </r>
  </si>
  <si>
    <r>
      <rPr>
        <b val="true"/>
        <sz val="10"/>
        <color rgb="FF1F4E79"/>
        <rFont val="Arial Unicode MS"/>
        <family val="2"/>
        <charset val="1"/>
      </rPr>
      <t xml:space="preserve">七、关键派生指标（全部公式自动计算，供</t>
    </r>
    <r>
      <rPr>
        <b val="true"/>
        <sz val="10"/>
        <color rgb="FF1F4E79"/>
        <rFont val="Arial"/>
        <family val="0"/>
        <charset val="1"/>
      </rPr>
      <t xml:space="preserve">04</t>
    </r>
    <r>
      <rPr>
        <b val="true"/>
        <sz val="10"/>
        <color rgb="FF1F4E79"/>
        <rFont val="Arial Unicode MS"/>
        <family val="2"/>
        <charset val="1"/>
      </rPr>
      <t xml:space="preserve">汇总对比</t>
    </r>
    <r>
      <rPr>
        <b val="true"/>
        <sz val="10"/>
        <color rgb="FF1F4E79"/>
        <rFont val="Arial"/>
        <family val="0"/>
        <charset val="1"/>
      </rPr>
      <t xml:space="preserve">/05</t>
    </r>
    <r>
      <rPr>
        <b val="true"/>
        <sz val="10"/>
        <color rgb="FF1F4E79"/>
        <rFont val="Arial Unicode MS"/>
        <family val="2"/>
        <charset val="1"/>
      </rPr>
      <t xml:space="preserve">监控报告引用）</t>
    </r>
  </si>
  <si>
    <r>
      <rPr>
        <sz val="10"/>
        <rFont val="Arial Unicode MS"/>
        <family val="2"/>
        <charset val="1"/>
      </rPr>
      <t xml:space="preserve">总工作量</t>
    </r>
    <r>
      <rPr>
        <sz val="10"/>
        <rFont val="Arial"/>
        <family val="0"/>
        <charset val="1"/>
      </rPr>
      <t xml:space="preserve">-</t>
    </r>
    <r>
      <rPr>
        <sz val="10"/>
        <rFont val="Arial Unicode MS"/>
        <family val="2"/>
        <charset val="1"/>
      </rPr>
      <t xml:space="preserve">计划（人天）</t>
    </r>
  </si>
  <si>
    <t xml:space="preserve">工作日口径</t>
  </si>
  <si>
    <t xml:space="preserve">工期偏差率（累计）</t>
  </si>
  <si>
    <t xml:space="preserve">总计行取交付验收阶段累计值</t>
  </si>
  <si>
    <r>
      <rPr>
        <sz val="10"/>
        <rFont val="Arial Unicode MS"/>
        <family val="2"/>
        <charset val="1"/>
      </rPr>
      <t xml:space="preserve">总成本</t>
    </r>
    <r>
      <rPr>
        <sz val="10"/>
        <rFont val="Arial"/>
        <family val="0"/>
        <charset val="1"/>
      </rPr>
      <t xml:space="preserve">-</t>
    </r>
    <r>
      <rPr>
        <sz val="10"/>
        <rFont val="Arial Unicode MS"/>
        <family val="2"/>
        <charset val="1"/>
      </rPr>
      <t xml:space="preserve">计划（元）</t>
    </r>
  </si>
  <si>
    <r>
      <rPr>
        <i val="true"/>
        <sz val="9"/>
        <color rgb="FF808080"/>
        <rFont val="Arial Unicode MS"/>
        <family val="2"/>
        <charset val="1"/>
      </rPr>
      <t xml:space="preserve">计划工作量</t>
    </r>
    <r>
      <rPr>
        <i val="true"/>
        <sz val="9"/>
        <color rgb="FF808080"/>
        <rFont val="Arial"/>
        <family val="0"/>
        <charset val="1"/>
      </rPr>
      <t xml:space="preserve">×1200</t>
    </r>
    <r>
      <rPr>
        <i val="true"/>
        <sz val="9"/>
        <color rgb="FF808080"/>
        <rFont val="Arial Unicode MS"/>
        <family val="2"/>
        <charset val="1"/>
      </rPr>
      <t xml:space="preserve">元</t>
    </r>
    <r>
      <rPr>
        <i val="true"/>
        <sz val="9"/>
        <color rgb="FF808080"/>
        <rFont val="Arial"/>
        <family val="0"/>
        <charset val="1"/>
      </rPr>
      <t xml:space="preserve">/</t>
    </r>
    <r>
      <rPr>
        <i val="true"/>
        <sz val="9"/>
        <color rgb="FF808080"/>
        <rFont val="Arial Unicode MS"/>
        <family val="2"/>
        <charset val="1"/>
      </rPr>
      <t xml:space="preserve">人天</t>
    </r>
  </si>
  <si>
    <t xml:space="preserve">成本偏差率（累计）</t>
  </si>
  <si>
    <r>
      <rPr>
        <sz val="10"/>
        <rFont val="Arial Unicode MS"/>
        <family val="2"/>
        <charset val="1"/>
      </rPr>
      <t xml:space="preserve">缺陷密度（个</t>
    </r>
    <r>
      <rPr>
        <sz val="10"/>
        <rFont val="Arial"/>
        <family val="0"/>
        <charset val="1"/>
      </rPr>
      <t xml:space="preserve">/FP</t>
    </r>
    <r>
      <rPr>
        <sz val="10"/>
        <rFont val="Arial Unicode MS"/>
        <family val="2"/>
        <charset val="1"/>
      </rPr>
      <t xml:space="preserve">）</t>
    </r>
  </si>
  <si>
    <r>
      <rPr>
        <i val="true"/>
        <sz val="9"/>
        <color rgb="FF808080"/>
        <rFont val="Arial Unicode MS"/>
        <family val="2"/>
        <charset val="1"/>
      </rPr>
      <t xml:space="preserve">＝总加权数</t>
    </r>
    <r>
      <rPr>
        <i val="true"/>
        <sz val="9"/>
        <color rgb="FF808080"/>
        <rFont val="Arial"/>
        <family val="0"/>
        <charset val="1"/>
      </rPr>
      <t xml:space="preserve">/</t>
    </r>
    <r>
      <rPr>
        <i val="true"/>
        <sz val="9"/>
        <color rgb="FF808080"/>
        <rFont val="Arial Unicode MS"/>
        <family val="2"/>
        <charset val="1"/>
      </rPr>
      <t xml:space="preserve">实际规模</t>
    </r>
  </si>
  <si>
    <r>
      <rPr>
        <i val="true"/>
        <sz val="9"/>
        <color rgb="FF808080"/>
        <rFont val="Arial Unicode MS"/>
        <family val="2"/>
        <charset val="1"/>
      </rPr>
      <t xml:space="preserve">＝集成系统测试加权</t>
    </r>
    <r>
      <rPr>
        <i val="true"/>
        <sz val="9"/>
        <color rgb="FF808080"/>
        <rFont val="Arial"/>
        <family val="0"/>
        <charset val="1"/>
      </rPr>
      <t xml:space="preserve">/</t>
    </r>
    <r>
      <rPr>
        <i val="true"/>
        <sz val="9"/>
        <color rgb="FF808080"/>
        <rFont val="Arial Unicode MS"/>
        <family val="2"/>
        <charset val="1"/>
      </rPr>
      <t xml:space="preserve">总加权</t>
    </r>
  </si>
  <si>
    <r>
      <rPr>
        <sz val="10"/>
        <rFont val="Arial Unicode MS"/>
        <family val="2"/>
        <charset val="1"/>
      </rPr>
      <t xml:space="preserve">评审效率（个</t>
    </r>
    <r>
      <rPr>
        <sz val="10"/>
        <rFont val="Arial"/>
        <family val="0"/>
        <charset val="1"/>
      </rPr>
      <t xml:space="preserve">/</t>
    </r>
    <r>
      <rPr>
        <sz val="10"/>
        <rFont val="Arial Unicode MS"/>
        <family val="2"/>
        <charset val="1"/>
      </rPr>
      <t xml:space="preserve">人时）</t>
    </r>
  </si>
  <si>
    <t xml:space="preserve">跨项目度量汇总对比</t>
  </si>
  <si>
    <r>
      <rPr>
        <i val="true"/>
        <sz val="9"/>
        <color rgb="FF808080"/>
        <rFont val="Arial Unicode MS"/>
        <family val="2"/>
        <charset val="1"/>
      </rPr>
      <t xml:space="preserve">项目</t>
    </r>
    <r>
      <rPr>
        <i val="true"/>
        <sz val="9"/>
        <color rgb="FF808080"/>
        <rFont val="Arial"/>
        <family val="0"/>
        <charset val="1"/>
      </rPr>
      <t xml:space="preserve">1/</t>
    </r>
    <r>
      <rPr>
        <i val="true"/>
        <sz val="9"/>
        <color rgb="FF808080"/>
        <rFont val="Arial Unicode MS"/>
        <family val="2"/>
        <charset val="1"/>
      </rPr>
      <t xml:space="preserve">项目</t>
    </r>
    <r>
      <rPr>
        <i val="true"/>
        <sz val="9"/>
        <color rgb="FF808080"/>
        <rFont val="Arial"/>
        <family val="0"/>
        <charset val="1"/>
      </rPr>
      <t xml:space="preserve">2</t>
    </r>
    <r>
      <rPr>
        <i val="true"/>
        <sz val="9"/>
        <color rgb="FF808080"/>
        <rFont val="Arial Unicode MS"/>
        <family val="2"/>
        <charset val="1"/>
      </rPr>
      <t xml:space="preserve">数值全部为跨表引用公式（绿字），随</t>
    </r>
    <r>
      <rPr>
        <i val="true"/>
        <sz val="9"/>
        <color rgb="FF808080"/>
        <rFont val="Arial"/>
        <family val="0"/>
        <charset val="1"/>
      </rPr>
      <t xml:space="preserve">02/03</t>
    </r>
    <r>
      <rPr>
        <i val="true"/>
        <sz val="9"/>
        <color rgb="FF808080"/>
        <rFont val="Arial Unicode MS"/>
        <family val="2"/>
        <charset val="1"/>
      </rPr>
      <t xml:space="preserve">表输入联动；“—”表示原表无该度量。</t>
    </r>
  </si>
  <si>
    <t xml:space="preserve">指标</t>
  </si>
  <si>
    <t xml:space="preserve">单位</t>
  </si>
  <si>
    <r>
      <rPr>
        <b val="true"/>
        <sz val="10"/>
        <color rgb="FFFFFFFF"/>
        <rFont val="Arial Unicode MS"/>
        <family val="2"/>
        <charset val="1"/>
      </rPr>
      <t xml:space="preserve">项目</t>
    </r>
    <r>
      <rPr>
        <b val="true"/>
        <sz val="10"/>
        <color rgb="FFFFFFFF"/>
        <rFont val="Arial"/>
        <family val="0"/>
        <charset val="1"/>
      </rPr>
      <t xml:space="preserve">1</t>
    </r>
    <r>
      <rPr>
        <b val="true"/>
        <sz val="10"/>
        <color rgb="FFFFFFFF"/>
        <rFont val="Arial Unicode MS"/>
        <family val="2"/>
        <charset val="1"/>
      </rPr>
      <t xml:space="preserve">（</t>
    </r>
    <r>
      <rPr>
        <b val="true"/>
        <sz val="10"/>
        <color rgb="FFFFFFFF"/>
        <rFont val="Arial"/>
        <family val="0"/>
        <charset val="1"/>
      </rPr>
      <t xml:space="preserve">256FP</t>
    </r>
    <r>
      <rPr>
        <b val="true"/>
        <sz val="10"/>
        <color rgb="FFFFFFFF"/>
        <rFont val="Arial Unicode MS"/>
        <family val="2"/>
        <charset val="1"/>
      </rPr>
      <t xml:space="preserve">）</t>
    </r>
  </si>
  <si>
    <r>
      <rPr>
        <b val="true"/>
        <sz val="10"/>
        <color rgb="FFFFFFFF"/>
        <rFont val="Arial Unicode MS"/>
        <family val="2"/>
        <charset val="1"/>
      </rPr>
      <t xml:space="preserve">项目</t>
    </r>
    <r>
      <rPr>
        <b val="true"/>
        <sz val="10"/>
        <color rgb="FFFFFFFF"/>
        <rFont val="Arial"/>
        <family val="0"/>
        <charset val="1"/>
      </rPr>
      <t xml:space="preserve">2</t>
    </r>
    <r>
      <rPr>
        <b val="true"/>
        <sz val="10"/>
        <color rgb="FFFFFFFF"/>
        <rFont val="Arial Unicode MS"/>
        <family val="2"/>
        <charset val="1"/>
      </rPr>
      <t xml:space="preserve">（</t>
    </r>
    <r>
      <rPr>
        <b val="true"/>
        <sz val="10"/>
        <color rgb="FFFFFFFF"/>
        <rFont val="Arial"/>
        <family val="0"/>
        <charset val="1"/>
      </rPr>
      <t xml:space="preserve">327FP</t>
    </r>
    <r>
      <rPr>
        <b val="true"/>
        <sz val="10"/>
        <color rgb="FFFFFFFF"/>
        <rFont val="Arial Unicode MS"/>
        <family val="2"/>
        <charset val="1"/>
      </rPr>
      <t xml:space="preserve">）</t>
    </r>
  </si>
  <si>
    <t xml:space="preserve">差异说明</t>
  </si>
  <si>
    <t xml:space="preserve">项目规模（实际）</t>
  </si>
  <si>
    <t xml:space="preserve">FP</t>
  </si>
  <si>
    <r>
      <rPr>
        <sz val="10"/>
        <rFont val="Arial"/>
        <family val="0"/>
        <charset val="1"/>
      </rPr>
      <t xml:space="preserve">P2</t>
    </r>
    <r>
      <rPr>
        <sz val="10"/>
        <rFont val="Arial Unicode MS"/>
        <family val="2"/>
        <charset val="1"/>
      </rPr>
      <t xml:space="preserve">规模约为</t>
    </r>
    <r>
      <rPr>
        <sz val="10"/>
        <rFont val="Arial"/>
        <family val="0"/>
        <charset val="1"/>
      </rPr>
      <t xml:space="preserve">P1</t>
    </r>
    <r>
      <rPr>
        <sz val="10"/>
        <rFont val="Arial Unicode MS"/>
        <family val="2"/>
        <charset val="1"/>
      </rPr>
      <t xml:space="preserve">的</t>
    </r>
    <r>
      <rPr>
        <sz val="10"/>
        <rFont val="Arial"/>
        <family val="0"/>
        <charset val="1"/>
      </rPr>
      <t xml:space="preserve">1.28</t>
    </r>
    <r>
      <rPr>
        <sz val="10"/>
        <rFont val="Arial Unicode MS"/>
        <family val="2"/>
        <charset val="1"/>
      </rPr>
      <t xml:space="preserve">倍</t>
    </r>
  </si>
  <si>
    <t xml:space="preserve">总工作量（实际）</t>
  </si>
  <si>
    <t xml:space="preserve">人天</t>
  </si>
  <si>
    <t xml:space="preserve">工作量与规模大致同比</t>
  </si>
  <si>
    <t xml:space="preserve">总工期（实际）</t>
  </si>
  <si>
    <t xml:space="preserve">天</t>
  </si>
  <si>
    <r>
      <rPr>
        <sz val="10"/>
        <rFont val="Arial"/>
        <family val="0"/>
        <charset val="1"/>
      </rPr>
      <t xml:space="preserve">P1</t>
    </r>
    <r>
      <rPr>
        <sz val="10"/>
        <rFont val="Arial Unicode MS"/>
        <family val="2"/>
        <charset val="1"/>
      </rPr>
      <t xml:space="preserve">为阶段天数合计（日历跨度</t>
    </r>
    <r>
      <rPr>
        <sz val="10"/>
        <rFont val="Arial"/>
        <family val="0"/>
        <charset val="1"/>
      </rPr>
      <t xml:space="preserve">127</t>
    </r>
    <r>
      <rPr>
        <sz val="10"/>
        <rFont val="Arial Unicode MS"/>
        <family val="2"/>
        <charset val="1"/>
      </rPr>
      <t xml:space="preserve">天），</t>
    </r>
    <r>
      <rPr>
        <sz val="10"/>
        <rFont val="Arial"/>
        <family val="0"/>
        <charset val="1"/>
      </rPr>
      <t xml:space="preserve">P2</t>
    </r>
    <r>
      <rPr>
        <sz val="10"/>
        <rFont val="Arial Unicode MS"/>
        <family val="2"/>
        <charset val="1"/>
      </rPr>
      <t xml:space="preserve">为工作日口径累计</t>
    </r>
  </si>
  <si>
    <r>
      <rPr>
        <sz val="10"/>
        <rFont val="Arial Unicode MS"/>
        <family val="2"/>
        <charset val="1"/>
      </rPr>
      <t xml:space="preserve">总成本（估算</t>
    </r>
    <r>
      <rPr>
        <sz val="10"/>
        <rFont val="Arial"/>
        <family val="0"/>
        <charset val="1"/>
      </rPr>
      <t xml:space="preserve">/</t>
    </r>
    <r>
      <rPr>
        <sz val="10"/>
        <rFont val="Arial Unicode MS"/>
        <family val="2"/>
        <charset val="1"/>
      </rPr>
      <t xml:space="preserve">计划）</t>
    </r>
  </si>
  <si>
    <t xml:space="preserve">元</t>
  </si>
  <si>
    <r>
      <rPr>
        <sz val="10"/>
        <rFont val="Arial"/>
        <family val="0"/>
        <charset val="1"/>
      </rPr>
      <t xml:space="preserve">P2</t>
    </r>
    <r>
      <rPr>
        <sz val="10"/>
        <rFont val="Arial Unicode MS"/>
        <family val="2"/>
        <charset val="1"/>
      </rPr>
      <t xml:space="preserve">计划成本恰为计划工作量</t>
    </r>
    <r>
      <rPr>
        <sz val="10"/>
        <rFont val="Arial"/>
        <family val="0"/>
        <charset val="1"/>
      </rPr>
      <t xml:space="preserve">×1200</t>
    </r>
    <r>
      <rPr>
        <sz val="10"/>
        <rFont val="Arial Unicode MS"/>
        <family val="2"/>
        <charset val="1"/>
      </rPr>
      <t xml:space="preserve">元</t>
    </r>
    <r>
      <rPr>
        <sz val="10"/>
        <rFont val="Arial"/>
        <family val="0"/>
        <charset val="1"/>
      </rPr>
      <t xml:space="preserve">/</t>
    </r>
    <r>
      <rPr>
        <sz val="10"/>
        <rFont val="Arial Unicode MS"/>
        <family val="2"/>
        <charset val="1"/>
      </rPr>
      <t xml:space="preserve">人天</t>
    </r>
  </si>
  <si>
    <t xml:space="preserve">总成本（实际）</t>
  </si>
  <si>
    <t xml:space="preserve">成本口径差异巨大，横向对比需先统一人天单价</t>
  </si>
  <si>
    <t xml:space="preserve">生产率</t>
  </si>
  <si>
    <r>
      <rPr>
        <sz val="10"/>
        <rFont val="Arial"/>
        <family val="0"/>
        <charset val="1"/>
      </rPr>
      <t xml:space="preserve">FP/</t>
    </r>
    <r>
      <rPr>
        <sz val="10"/>
        <rFont val="Arial Unicode MS"/>
        <family val="2"/>
        <charset val="1"/>
      </rPr>
      <t xml:space="preserve">人天</t>
    </r>
  </si>
  <si>
    <r>
      <rPr>
        <sz val="10"/>
        <rFont val="Arial"/>
        <family val="0"/>
        <charset val="1"/>
      </rPr>
      <t xml:space="preserve">P2</t>
    </r>
    <r>
      <rPr>
        <sz val="10"/>
        <rFont val="Arial Unicode MS"/>
        <family val="2"/>
        <charset val="1"/>
      </rPr>
      <t xml:space="preserve">略高，可作为组织级基线区间</t>
    </r>
    <r>
      <rPr>
        <sz val="10"/>
        <rFont val="Arial"/>
        <family val="0"/>
        <charset val="1"/>
      </rPr>
      <t xml:space="preserve">1.09~1.13</t>
    </r>
  </si>
  <si>
    <t xml:space="preserve">功能点耗时率</t>
  </si>
  <si>
    <r>
      <rPr>
        <sz val="10"/>
        <rFont val="Arial Unicode MS"/>
        <family val="2"/>
        <charset val="1"/>
      </rPr>
      <t xml:space="preserve">人时</t>
    </r>
    <r>
      <rPr>
        <sz val="10"/>
        <rFont val="Arial"/>
        <family val="0"/>
        <charset val="1"/>
      </rPr>
      <t xml:space="preserve">/FP</t>
    </r>
  </si>
  <si>
    <r>
      <rPr>
        <sz val="10"/>
        <rFont val="Arial"/>
        <family val="0"/>
        <charset val="1"/>
      </rPr>
      <t xml:space="preserve">P1</t>
    </r>
    <r>
      <rPr>
        <sz val="10"/>
        <rFont val="Arial Unicode MS"/>
        <family val="2"/>
        <charset val="1"/>
      </rPr>
      <t xml:space="preserve">为推算值（未在原表给出），</t>
    </r>
    <r>
      <rPr>
        <sz val="10"/>
        <rFont val="Arial"/>
        <family val="0"/>
        <charset val="1"/>
      </rPr>
      <t xml:space="preserve">P2</t>
    </r>
    <r>
      <rPr>
        <sz val="10"/>
        <rFont val="Arial Unicode MS"/>
        <family val="2"/>
        <charset val="1"/>
      </rPr>
      <t xml:space="preserve">达成≤</t>
    </r>
    <r>
      <rPr>
        <sz val="10"/>
        <rFont val="Arial"/>
        <family val="0"/>
        <charset val="1"/>
      </rPr>
      <t xml:space="preserve">7.15</t>
    </r>
    <r>
      <rPr>
        <sz val="10"/>
        <rFont val="Arial Unicode MS"/>
        <family val="2"/>
        <charset val="1"/>
      </rPr>
      <t xml:space="preserve">目标，</t>
    </r>
    <r>
      <rPr>
        <sz val="10"/>
        <rFont val="Arial"/>
        <family val="0"/>
        <charset val="1"/>
      </rPr>
      <t xml:space="preserve">P1</t>
    </r>
    <r>
      <rPr>
        <sz val="10"/>
        <rFont val="Arial Unicode MS"/>
        <family val="2"/>
        <charset val="1"/>
      </rPr>
      <t xml:space="preserve">按同口径略超</t>
    </r>
  </si>
  <si>
    <t xml:space="preserve">人天成本（实际）</t>
  </si>
  <si>
    <r>
      <rPr>
        <sz val="10"/>
        <rFont val="Arial Unicode MS"/>
        <family val="2"/>
        <charset val="1"/>
      </rPr>
      <t xml:space="preserve">元</t>
    </r>
    <r>
      <rPr>
        <sz val="10"/>
        <rFont val="Arial"/>
        <family val="0"/>
        <charset val="1"/>
      </rPr>
      <t xml:space="preserve">/</t>
    </r>
    <r>
      <rPr>
        <sz val="10"/>
        <rFont val="Arial Unicode MS"/>
        <family val="2"/>
        <charset val="1"/>
      </rPr>
      <t xml:space="preserve">人天</t>
    </r>
  </si>
  <si>
    <r>
      <rPr>
        <sz val="10"/>
        <rFont val="Arial Unicode MS"/>
        <family val="2"/>
        <charset val="1"/>
      </rPr>
      <t xml:space="preserve">相差约</t>
    </r>
    <r>
      <rPr>
        <sz val="10"/>
        <rFont val="Arial"/>
        <family val="0"/>
        <charset val="1"/>
      </rPr>
      <t xml:space="preserve">3.7</t>
    </r>
    <r>
      <rPr>
        <sz val="10"/>
        <rFont val="Arial Unicode MS"/>
        <family val="2"/>
        <charset val="1"/>
      </rPr>
      <t xml:space="preserve">倍，疑成本核算口径不同（</t>
    </r>
    <r>
      <rPr>
        <sz val="10"/>
        <rFont val="Arial"/>
        <family val="0"/>
        <charset val="1"/>
      </rPr>
      <t xml:space="preserve">P1</t>
    </r>
    <r>
      <rPr>
        <sz val="10"/>
        <rFont val="Arial Unicode MS"/>
        <family val="2"/>
        <charset val="1"/>
      </rPr>
      <t xml:space="preserve">或仅含部分人力成本）</t>
    </r>
  </si>
  <si>
    <t xml:space="preserve">单功能点成本（实际）</t>
  </si>
  <si>
    <r>
      <rPr>
        <sz val="10"/>
        <rFont val="Arial Unicode MS"/>
        <family val="2"/>
        <charset val="1"/>
      </rPr>
      <t xml:space="preserve">元</t>
    </r>
    <r>
      <rPr>
        <sz val="10"/>
        <rFont val="Arial"/>
        <family val="0"/>
        <charset val="1"/>
      </rPr>
      <t xml:space="preserve">/FP</t>
    </r>
  </si>
  <si>
    <t xml:space="preserve">同上，口径差异所致</t>
  </si>
  <si>
    <t xml:space="preserve">%</t>
  </si>
  <si>
    <r>
      <rPr>
        <sz val="10"/>
        <rFont val="Arial Unicode MS"/>
        <family val="2"/>
        <charset val="1"/>
      </rPr>
      <t xml:space="preserve">均为负偏差（实际低于估算），</t>
    </r>
    <r>
      <rPr>
        <sz val="10"/>
        <rFont val="Arial"/>
        <family val="0"/>
        <charset val="1"/>
      </rPr>
      <t xml:space="preserve">P2</t>
    </r>
    <r>
      <rPr>
        <sz val="10"/>
        <rFont val="Arial Unicode MS"/>
        <family val="2"/>
        <charset val="1"/>
      </rPr>
      <t xml:space="preserve">估算更准</t>
    </r>
  </si>
  <si>
    <r>
      <rPr>
        <sz val="10"/>
        <rFont val="Arial Unicode MS"/>
        <family val="2"/>
        <charset val="1"/>
      </rPr>
      <t xml:space="preserve">进度</t>
    </r>
    <r>
      <rPr>
        <sz val="10"/>
        <rFont val="Arial"/>
        <family val="0"/>
        <charset val="1"/>
      </rPr>
      <t xml:space="preserve">/</t>
    </r>
    <r>
      <rPr>
        <sz val="10"/>
        <rFont val="Arial Unicode MS"/>
        <family val="2"/>
        <charset val="1"/>
      </rPr>
      <t xml:space="preserve">工期偏差率</t>
    </r>
  </si>
  <si>
    <r>
      <rPr>
        <sz val="10"/>
        <rFont val="Arial"/>
        <family val="0"/>
        <charset val="1"/>
      </rPr>
      <t xml:space="preserve">P1</t>
    </r>
    <r>
      <rPr>
        <sz val="10"/>
        <rFont val="Arial Unicode MS"/>
        <family val="2"/>
        <charset val="1"/>
      </rPr>
      <t xml:space="preserve">全程记</t>
    </r>
    <r>
      <rPr>
        <sz val="10"/>
        <rFont val="Arial"/>
        <family val="0"/>
        <charset val="1"/>
      </rPr>
      <t xml:space="preserve">0</t>
    </r>
    <r>
      <rPr>
        <sz val="10"/>
        <rFont val="Arial Unicode MS"/>
        <family val="2"/>
        <charset val="1"/>
      </rPr>
      <t xml:space="preserve">（存在抹平嫌疑，见</t>
    </r>
    <r>
      <rPr>
        <sz val="10"/>
        <rFont val="Arial"/>
        <family val="0"/>
        <charset val="1"/>
      </rPr>
      <t xml:space="preserve">dataQualityNotes</t>
    </r>
    <r>
      <rPr>
        <sz val="10"/>
        <rFont val="Arial Unicode MS"/>
        <family val="2"/>
        <charset val="1"/>
      </rPr>
      <t xml:space="preserve">），</t>
    </r>
    <r>
      <rPr>
        <sz val="10"/>
        <rFont val="Arial"/>
        <family val="0"/>
        <charset val="1"/>
      </rPr>
      <t xml:space="preserve">P2</t>
    </r>
    <r>
      <rPr>
        <sz val="10"/>
        <rFont val="Arial Unicode MS"/>
        <family val="2"/>
        <charset val="1"/>
      </rPr>
      <t xml:space="preserve">累计延误</t>
    </r>
    <r>
      <rPr>
        <sz val="10"/>
        <rFont val="Arial"/>
        <family val="0"/>
        <charset val="1"/>
      </rPr>
      <t xml:space="preserve">7.4%</t>
    </r>
    <r>
      <rPr>
        <sz val="10"/>
        <rFont val="Arial Unicode MS"/>
        <family val="2"/>
        <charset val="1"/>
      </rPr>
      <t xml:space="preserve">在</t>
    </r>
    <r>
      <rPr>
        <sz val="10"/>
        <rFont val="Arial"/>
        <family val="0"/>
        <charset val="1"/>
      </rPr>
      <t xml:space="preserve">±15%</t>
    </r>
    <r>
      <rPr>
        <sz val="10"/>
        <rFont val="Arial Unicode MS"/>
        <family val="2"/>
        <charset val="1"/>
      </rPr>
      <t xml:space="preserve">控制内</t>
    </r>
  </si>
  <si>
    <r>
      <rPr>
        <sz val="10"/>
        <rFont val="Arial"/>
        <family val="0"/>
        <charset val="1"/>
      </rPr>
      <t xml:space="preserve">P1</t>
    </r>
    <r>
      <rPr>
        <sz val="10"/>
        <rFont val="Arial Unicode MS"/>
        <family val="2"/>
        <charset val="1"/>
      </rPr>
      <t xml:space="preserve">节支</t>
    </r>
    <r>
      <rPr>
        <sz val="10"/>
        <rFont val="Arial"/>
        <family val="0"/>
        <charset val="1"/>
      </rPr>
      <t xml:space="preserve">4.4%</t>
    </r>
    <r>
      <rPr>
        <sz val="10"/>
        <rFont val="Arial Unicode MS"/>
        <family val="2"/>
        <charset val="1"/>
      </rPr>
      <t xml:space="preserve">（疑折算），</t>
    </r>
    <r>
      <rPr>
        <sz val="10"/>
        <rFont val="Arial"/>
        <family val="0"/>
        <charset val="1"/>
      </rPr>
      <t xml:space="preserve">P2</t>
    </r>
    <r>
      <rPr>
        <sz val="10"/>
        <rFont val="Arial Unicode MS"/>
        <family val="2"/>
        <charset val="1"/>
      </rPr>
      <t xml:space="preserve">超支</t>
    </r>
    <r>
      <rPr>
        <sz val="10"/>
        <rFont val="Arial"/>
        <family val="0"/>
        <charset val="1"/>
      </rPr>
      <t xml:space="preserve">4.9%</t>
    </r>
    <r>
      <rPr>
        <sz val="10"/>
        <rFont val="Arial Unicode MS"/>
        <family val="2"/>
        <charset val="1"/>
      </rPr>
      <t xml:space="preserve">在控制内</t>
    </r>
  </si>
  <si>
    <t xml:space="preserve">—</t>
  </si>
  <si>
    <r>
      <rPr>
        <sz val="10"/>
        <rFont val="Arial"/>
        <family val="0"/>
        <charset val="1"/>
      </rPr>
      <t xml:space="preserve">P1</t>
    </r>
    <r>
      <rPr>
        <sz val="10"/>
        <rFont val="Arial Unicode MS"/>
        <family val="2"/>
        <charset val="1"/>
      </rPr>
      <t xml:space="preserve">未给出总体估算</t>
    </r>
    <r>
      <rPr>
        <sz val="10"/>
        <rFont val="Arial"/>
        <family val="0"/>
        <charset val="1"/>
      </rPr>
      <t xml:space="preserve">vs</t>
    </r>
    <r>
      <rPr>
        <sz val="10"/>
        <rFont val="Arial Unicode MS"/>
        <family val="2"/>
        <charset val="1"/>
      </rPr>
      <t xml:space="preserve">实际口径（测试阶段估算</t>
    </r>
    <r>
      <rPr>
        <sz val="10"/>
        <rFont val="Arial"/>
        <family val="0"/>
        <charset val="1"/>
      </rPr>
      <t xml:space="preserve">187 vs </t>
    </r>
    <r>
      <rPr>
        <sz val="10"/>
        <rFont val="Arial Unicode MS"/>
        <family val="2"/>
        <charset val="1"/>
      </rPr>
      <t xml:space="preserve">最终实际</t>
    </r>
    <r>
      <rPr>
        <sz val="10"/>
        <rFont val="Arial"/>
        <family val="0"/>
        <charset val="1"/>
      </rPr>
      <t xml:space="preserve">256</t>
    </r>
    <r>
      <rPr>
        <sz val="10"/>
        <rFont val="Arial Unicode MS"/>
        <family val="2"/>
        <charset val="1"/>
      </rPr>
      <t xml:space="preserve">，差</t>
    </r>
    <r>
      <rPr>
        <sz val="10"/>
        <rFont val="Arial"/>
        <family val="0"/>
        <charset val="1"/>
      </rPr>
      <t xml:space="preserve">27%</t>
    </r>
    <r>
      <rPr>
        <sz val="10"/>
        <rFont val="Arial Unicode MS"/>
        <family val="2"/>
        <charset val="1"/>
      </rPr>
      <t xml:space="preserve">）</t>
    </r>
  </si>
  <si>
    <t xml:space="preserve">缺陷密度</t>
  </si>
  <si>
    <r>
      <rPr>
        <sz val="10"/>
        <rFont val="Arial Unicode MS"/>
        <family val="2"/>
        <charset val="1"/>
      </rPr>
      <t xml:space="preserve">个</t>
    </r>
    <r>
      <rPr>
        <sz val="10"/>
        <rFont val="Arial"/>
        <family val="0"/>
        <charset val="1"/>
      </rPr>
      <t xml:space="preserve">/FP</t>
    </r>
  </si>
  <si>
    <r>
      <rPr>
        <sz val="10"/>
        <rFont val="Arial"/>
        <family val="0"/>
        <charset val="1"/>
      </rPr>
      <t xml:space="preserve">P1</t>
    </r>
    <r>
      <rPr>
        <sz val="10"/>
        <rFont val="Arial Unicode MS"/>
        <family val="2"/>
        <charset val="1"/>
      </rPr>
      <t xml:space="preserve">无缺陷度量表</t>
    </r>
  </si>
  <si>
    <r>
      <rPr>
        <sz val="10"/>
        <rFont val="Arial"/>
        <family val="0"/>
        <charset val="1"/>
      </rPr>
      <t xml:space="preserve">P2</t>
    </r>
    <r>
      <rPr>
        <sz val="10"/>
        <rFont val="Arial Unicode MS"/>
        <family val="2"/>
        <charset val="1"/>
      </rPr>
      <t xml:space="preserve">达成≥</t>
    </r>
    <r>
      <rPr>
        <sz val="10"/>
        <rFont val="Arial"/>
        <family val="0"/>
        <charset val="1"/>
      </rPr>
      <t xml:space="preserve">75%</t>
    </r>
    <r>
      <rPr>
        <sz val="10"/>
        <rFont val="Arial Unicode MS"/>
        <family val="2"/>
        <charset val="1"/>
      </rPr>
      <t xml:space="preserve">目标；</t>
    </r>
    <r>
      <rPr>
        <sz val="10"/>
        <rFont val="Arial"/>
        <family val="0"/>
        <charset val="1"/>
      </rPr>
      <t xml:space="preserve">P1</t>
    </r>
    <r>
      <rPr>
        <sz val="10"/>
        <rFont val="Arial Unicode MS"/>
        <family val="2"/>
        <charset val="1"/>
      </rPr>
      <t xml:space="preserve">无此度量</t>
    </r>
  </si>
  <si>
    <t xml:space="preserve">项目度量红绿灯监控报告</t>
  </si>
  <si>
    <r>
      <rPr>
        <i val="true"/>
        <sz val="9"/>
        <color rgb="FF808080"/>
        <rFont val="Arial Unicode MS"/>
        <family val="2"/>
        <charset val="1"/>
      </rPr>
      <t xml:space="preserve">指标值与阈值均为跨表引用（绿字）；状态列为公式，随</t>
    </r>
    <r>
      <rPr>
        <i val="true"/>
        <sz val="9"/>
        <color rgb="FF808080"/>
        <rFont val="Arial"/>
        <family val="0"/>
        <charset val="1"/>
      </rPr>
      <t xml:space="preserve">01</t>
    </r>
    <r>
      <rPr>
        <i val="true"/>
        <sz val="9"/>
        <color rgb="FF808080"/>
        <rFont val="Arial Unicode MS"/>
        <family val="2"/>
        <charset val="1"/>
      </rPr>
      <t xml:space="preserve">参数阈值联动；最右两列为自动结论的辅助记录列。</t>
    </r>
  </si>
  <si>
    <r>
      <rPr>
        <i val="true"/>
        <sz val="9"/>
        <color rgb="FF808080"/>
        <rFont val="Arial Unicode MS"/>
        <family val="2"/>
        <charset val="1"/>
      </rPr>
      <t xml:space="preserve">判定公式：偏差型 </t>
    </r>
    <r>
      <rPr>
        <i val="true"/>
        <sz val="9"/>
        <color rgb="FF808080"/>
        <rFont val="Arial"/>
        <family val="0"/>
        <charset val="1"/>
      </rPr>
      <t xml:space="preserve">=IF(ABS(</t>
    </r>
    <r>
      <rPr>
        <i val="true"/>
        <sz val="9"/>
        <color rgb="FF808080"/>
        <rFont val="Arial Unicode MS"/>
        <family val="2"/>
        <charset val="1"/>
      </rPr>
      <t xml:space="preserve">值</t>
    </r>
    <r>
      <rPr>
        <i val="true"/>
        <sz val="9"/>
        <color rgb="FF808080"/>
        <rFont val="Arial"/>
        <family val="0"/>
        <charset val="1"/>
      </rPr>
      <t xml:space="preserve">)&lt;=</t>
    </r>
    <r>
      <rPr>
        <i val="true"/>
        <sz val="9"/>
        <color rgb="FF808080"/>
        <rFont val="Arial Unicode MS"/>
        <family val="2"/>
        <charset val="1"/>
      </rPr>
      <t xml:space="preserve">阈值</t>
    </r>
    <r>
      <rPr>
        <i val="true"/>
        <sz val="9"/>
        <color rgb="FF808080"/>
        <rFont val="Arial"/>
        <family val="0"/>
        <charset val="1"/>
      </rPr>
      <t xml:space="preserve">×</t>
    </r>
    <r>
      <rPr>
        <i val="true"/>
        <sz val="9"/>
        <color rgb="FF808080"/>
        <rFont val="Arial Unicode MS"/>
        <family val="2"/>
        <charset val="1"/>
      </rPr>
      <t xml:space="preserve">系数</t>
    </r>
    <r>
      <rPr>
        <i val="true"/>
        <sz val="9"/>
        <color rgb="FF808080"/>
        <rFont val="Arial"/>
        <family val="0"/>
        <charset val="1"/>
      </rPr>
      <t xml:space="preserve">,"● </t>
    </r>
    <r>
      <rPr>
        <i val="true"/>
        <sz val="9"/>
        <color rgb="FF808080"/>
        <rFont val="Arial Unicode MS"/>
        <family val="2"/>
        <charset val="1"/>
      </rPr>
      <t xml:space="preserve">正常</t>
    </r>
    <r>
      <rPr>
        <i val="true"/>
        <sz val="9"/>
        <color rgb="FF808080"/>
        <rFont val="Arial"/>
        <family val="0"/>
        <charset val="1"/>
      </rPr>
      <t xml:space="preserve">",IF(ABS(</t>
    </r>
    <r>
      <rPr>
        <i val="true"/>
        <sz val="9"/>
        <color rgb="FF808080"/>
        <rFont val="Arial Unicode MS"/>
        <family val="2"/>
        <charset val="1"/>
      </rPr>
      <t xml:space="preserve">值</t>
    </r>
    <r>
      <rPr>
        <i val="true"/>
        <sz val="9"/>
        <color rgb="FF808080"/>
        <rFont val="Arial"/>
        <family val="0"/>
        <charset val="1"/>
      </rPr>
      <t xml:space="preserve">)&lt;=</t>
    </r>
    <r>
      <rPr>
        <i val="true"/>
        <sz val="9"/>
        <color rgb="FF808080"/>
        <rFont val="Arial Unicode MS"/>
        <family val="2"/>
        <charset val="1"/>
      </rPr>
      <t xml:space="preserve">阈值</t>
    </r>
    <r>
      <rPr>
        <i val="true"/>
        <sz val="9"/>
        <color rgb="FF808080"/>
        <rFont val="Arial"/>
        <family val="0"/>
        <charset val="1"/>
      </rPr>
      <t xml:space="preserve">,"▲ </t>
    </r>
    <r>
      <rPr>
        <i val="true"/>
        <sz val="9"/>
        <color rgb="FF808080"/>
        <rFont val="Arial Unicode MS"/>
        <family val="2"/>
        <charset val="1"/>
      </rPr>
      <t xml:space="preserve">预警</t>
    </r>
    <r>
      <rPr>
        <i val="true"/>
        <sz val="9"/>
        <color rgb="FF808080"/>
        <rFont val="Arial"/>
        <family val="0"/>
        <charset val="1"/>
      </rPr>
      <t xml:space="preserve">","✖ </t>
    </r>
    <r>
      <rPr>
        <i val="true"/>
        <sz val="9"/>
        <color rgb="FF808080"/>
        <rFont val="Arial Unicode MS"/>
        <family val="2"/>
        <charset val="1"/>
      </rPr>
      <t xml:space="preserve">超限</t>
    </r>
    <r>
      <rPr>
        <i val="true"/>
        <sz val="9"/>
        <color rgb="FF808080"/>
        <rFont val="Arial"/>
        <family val="0"/>
        <charset val="1"/>
      </rPr>
      <t xml:space="preserve">"))</t>
    </r>
    <r>
      <rPr>
        <i val="true"/>
        <sz val="9"/>
        <color rgb="FF808080"/>
        <rFont val="Arial Unicode MS"/>
        <family val="2"/>
        <charset val="1"/>
      </rPr>
      <t xml:space="preserve">；达标型按≥</t>
    </r>
    <r>
      <rPr>
        <i val="true"/>
        <sz val="9"/>
        <color rgb="FF808080"/>
        <rFont val="Arial"/>
        <family val="0"/>
        <charset val="1"/>
      </rPr>
      <t xml:space="preserve">/≤</t>
    </r>
    <r>
      <rPr>
        <i val="true"/>
        <sz val="9"/>
        <color rgb="FF808080"/>
        <rFont val="Arial Unicode MS"/>
        <family val="2"/>
        <charset val="1"/>
      </rPr>
      <t xml:space="preserve">方向判达标。</t>
    </r>
  </si>
  <si>
    <t xml:space="preserve">序号</t>
  </si>
  <si>
    <t xml:space="preserve">项目</t>
  </si>
  <si>
    <r>
      <rPr>
        <b val="true"/>
        <sz val="10"/>
        <color rgb="FFFFFFFF"/>
        <rFont val="Arial Unicode MS"/>
        <family val="2"/>
        <charset val="1"/>
      </rPr>
      <t xml:space="preserve">维度</t>
    </r>
    <r>
      <rPr>
        <b val="true"/>
        <sz val="10"/>
        <color rgb="FFFFFFFF"/>
        <rFont val="Arial"/>
        <family val="0"/>
        <charset val="1"/>
      </rPr>
      <t xml:space="preserve">/</t>
    </r>
    <r>
      <rPr>
        <b val="true"/>
        <sz val="10"/>
        <color rgb="FFFFFFFF"/>
        <rFont val="Arial Unicode MS"/>
        <family val="2"/>
        <charset val="1"/>
      </rPr>
      <t xml:space="preserve">指标</t>
    </r>
  </si>
  <si>
    <t xml:space="preserve">指标值</t>
  </si>
  <si>
    <r>
      <rPr>
        <b val="true"/>
        <sz val="10"/>
        <color rgb="FFFFFFFF"/>
        <rFont val="Arial Unicode MS"/>
        <family val="2"/>
        <charset val="1"/>
      </rPr>
      <t xml:space="preserve">阈值</t>
    </r>
    <r>
      <rPr>
        <b val="true"/>
        <sz val="10"/>
        <color rgb="FFFFFFFF"/>
        <rFont val="Arial"/>
        <family val="0"/>
        <charset val="1"/>
      </rPr>
      <t xml:space="preserve">/</t>
    </r>
    <r>
      <rPr>
        <b val="true"/>
        <sz val="10"/>
        <color rgb="FFFFFFFF"/>
        <rFont val="Arial Unicode MS"/>
        <family val="2"/>
        <charset val="1"/>
      </rPr>
      <t xml:space="preserve">目标</t>
    </r>
  </si>
  <si>
    <t xml:space="preserve">判定类型</t>
  </si>
  <si>
    <t xml:space="preserve">状态</t>
  </si>
  <si>
    <t xml:space="preserve">结论建议</t>
  </si>
  <si>
    <t xml:space="preserve">超限记录</t>
  </si>
  <si>
    <t xml:space="preserve">预警记录</t>
  </si>
  <si>
    <t xml:space="preserve">P1</t>
  </si>
  <si>
    <r>
      <rPr>
        <sz val="10"/>
        <rFont val="Arial Unicode MS"/>
        <family val="2"/>
        <charset val="1"/>
      </rPr>
      <t xml:space="preserve">偏差型</t>
    </r>
    <r>
      <rPr>
        <sz val="10"/>
        <rFont val="Arial"/>
        <family val="0"/>
        <charset val="1"/>
      </rPr>
      <t xml:space="preserve">±</t>
    </r>
  </si>
  <si>
    <r>
      <rPr>
        <sz val="10"/>
        <rFont val="Arial Unicode MS"/>
        <family val="2"/>
        <charset val="1"/>
      </rPr>
      <t xml:space="preserve">实际低于估算</t>
    </r>
    <r>
      <rPr>
        <sz val="10"/>
        <rFont val="Arial"/>
        <family val="0"/>
        <charset val="1"/>
      </rPr>
      <t xml:space="preserve">4.6%</t>
    </r>
    <r>
      <rPr>
        <sz val="10"/>
        <rFont val="Arial Unicode MS"/>
        <family val="2"/>
        <charset val="1"/>
      </rPr>
      <t xml:space="preserve">，绿区；注意</t>
    </r>
    <r>
      <rPr>
        <sz val="10"/>
        <rFont val="Arial"/>
        <family val="0"/>
        <charset val="1"/>
      </rPr>
      <t xml:space="preserve">P1</t>
    </r>
    <r>
      <rPr>
        <sz val="10"/>
        <rFont val="Arial Unicode MS"/>
        <family val="2"/>
        <charset val="1"/>
      </rPr>
      <t xml:space="preserve">偏差基准为需求阶段估计值</t>
    </r>
  </si>
  <si>
    <r>
      <rPr>
        <sz val="10"/>
        <rFont val="Arial Unicode MS"/>
        <family val="2"/>
        <charset val="1"/>
      </rPr>
      <t xml:space="preserve">全程记</t>
    </r>
    <r>
      <rPr>
        <sz val="10"/>
        <rFont val="Arial"/>
        <family val="0"/>
        <charset val="1"/>
      </rPr>
      <t xml:space="preserve">0</t>
    </r>
    <r>
      <rPr>
        <sz val="10"/>
        <rFont val="Arial Unicode MS"/>
        <family val="2"/>
        <charset val="1"/>
      </rPr>
      <t xml:space="preserve">偏差，绿区；但编码阶段实际完成晚于计划</t>
    </r>
    <r>
      <rPr>
        <sz val="10"/>
        <rFont val="Arial"/>
        <family val="0"/>
        <charset val="1"/>
      </rPr>
      <t xml:space="preserve">1</t>
    </r>
    <r>
      <rPr>
        <sz val="10"/>
        <rFont val="Arial Unicode MS"/>
        <family val="2"/>
        <charset val="1"/>
      </rPr>
      <t xml:space="preserve">天仍记</t>
    </r>
    <r>
      <rPr>
        <sz val="10"/>
        <rFont val="Arial"/>
        <family val="0"/>
        <charset val="1"/>
      </rPr>
      <t xml:space="preserve">0</t>
    </r>
    <r>
      <rPr>
        <sz val="10"/>
        <rFont val="Arial Unicode MS"/>
        <family val="2"/>
        <charset val="1"/>
      </rPr>
      <t xml:space="preserve">，疑被抹平，可信度存疑</t>
    </r>
  </si>
  <si>
    <r>
      <rPr>
        <sz val="10"/>
        <rFont val="Arial Unicode MS"/>
        <family val="2"/>
        <charset val="1"/>
      </rPr>
      <t xml:space="preserve">节支</t>
    </r>
    <r>
      <rPr>
        <sz val="10"/>
        <rFont val="Arial"/>
        <family val="0"/>
        <charset val="1"/>
      </rPr>
      <t xml:space="preserve">4.4%</t>
    </r>
    <r>
      <rPr>
        <sz val="10"/>
        <rFont val="Arial Unicode MS"/>
        <family val="2"/>
        <charset val="1"/>
      </rPr>
      <t xml:space="preserve">，绿区；各里程碑偏差率高度一致，实际成本疑按估算折算，建议实采核对</t>
    </r>
  </si>
  <si>
    <t xml:space="preserve">达标型≤</t>
  </si>
  <si>
    <r>
      <rPr>
        <sz val="10"/>
        <rFont val="Arial"/>
        <family val="0"/>
        <charset val="1"/>
      </rPr>
      <t xml:space="preserve">7.36</t>
    </r>
    <r>
      <rPr>
        <sz val="10"/>
        <rFont val="Arial Unicode MS"/>
        <family val="2"/>
        <charset val="1"/>
      </rPr>
      <t xml:space="preserve">人时</t>
    </r>
    <r>
      <rPr>
        <sz val="10"/>
        <rFont val="Arial"/>
        <family val="0"/>
        <charset val="1"/>
      </rPr>
      <t xml:space="preserve">/FP</t>
    </r>
    <r>
      <rPr>
        <sz val="10"/>
        <rFont val="Arial Unicode MS"/>
        <family val="2"/>
        <charset val="1"/>
      </rPr>
      <t xml:space="preserve">为推算值（原表未给出），略超</t>
    </r>
    <r>
      <rPr>
        <sz val="10"/>
        <rFont val="Arial"/>
        <family val="0"/>
        <charset val="1"/>
      </rPr>
      <t xml:space="preserve">7.15</t>
    </r>
    <r>
      <rPr>
        <sz val="10"/>
        <rFont val="Arial Unicode MS"/>
        <family val="2"/>
        <charset val="1"/>
      </rPr>
      <t xml:space="preserve">目标；横向对比需先统一口径</t>
    </r>
  </si>
  <si>
    <t xml:space="preserve">P2</t>
  </si>
  <si>
    <r>
      <rPr>
        <sz val="10"/>
        <rFont val="Arial"/>
        <family val="0"/>
        <charset val="1"/>
      </rPr>
      <t xml:space="preserve">-1.6%</t>
    </r>
    <r>
      <rPr>
        <sz val="10"/>
        <rFont val="Arial Unicode MS"/>
        <family val="2"/>
        <charset val="1"/>
      </rPr>
      <t xml:space="preserve">，绿区，估算准确，各阶段分布比例合理</t>
    </r>
  </si>
  <si>
    <r>
      <rPr>
        <sz val="10"/>
        <rFont val="Arial"/>
        <family val="0"/>
        <charset val="1"/>
      </rPr>
      <t xml:space="preserve">-0.3%</t>
    </r>
    <r>
      <rPr>
        <sz val="10"/>
        <rFont val="Arial Unicode MS"/>
        <family val="2"/>
        <charset val="1"/>
      </rPr>
      <t xml:space="preserve">，绿区，规模基线控制好</t>
    </r>
  </si>
  <si>
    <t xml:space="preserve">工期偏差率</t>
  </si>
  <si>
    <r>
      <rPr>
        <sz val="10"/>
        <rFont val="Arial Unicode MS"/>
        <family val="2"/>
        <charset val="1"/>
      </rPr>
      <t xml:space="preserve">累计</t>
    </r>
    <r>
      <rPr>
        <sz val="10"/>
        <rFont val="Arial"/>
        <family val="0"/>
        <charset val="1"/>
      </rPr>
      <t xml:space="preserve">+7.4%</t>
    </r>
    <r>
      <rPr>
        <sz val="10"/>
        <rFont val="Arial Unicode MS"/>
        <family val="2"/>
        <charset val="1"/>
      </rPr>
      <t xml:space="preserve">，绿区；系统设计阶段曾达</t>
    </r>
    <r>
      <rPr>
        <sz val="10"/>
        <rFont val="Arial"/>
        <family val="0"/>
        <charset val="1"/>
      </rPr>
      <t xml:space="preserve">10%</t>
    </r>
    <r>
      <rPr>
        <sz val="10"/>
        <rFont val="Arial Unicode MS"/>
        <family val="2"/>
        <charset val="1"/>
      </rPr>
      <t xml:space="preserve">触及黄区后收敛，设计</t>
    </r>
    <r>
      <rPr>
        <sz val="10"/>
        <rFont val="Arial"/>
        <family val="0"/>
        <charset val="1"/>
      </rPr>
      <t xml:space="preserve">/</t>
    </r>
    <r>
      <rPr>
        <sz val="10"/>
        <rFont val="Arial Unicode MS"/>
        <family val="2"/>
        <charset val="1"/>
      </rPr>
      <t xml:space="preserve">编码阶段需设检查点</t>
    </r>
  </si>
  <si>
    <r>
      <rPr>
        <sz val="10"/>
        <rFont val="Arial Unicode MS"/>
        <family val="2"/>
        <charset val="1"/>
      </rPr>
      <t xml:space="preserve">超支</t>
    </r>
    <r>
      <rPr>
        <sz val="10"/>
        <rFont val="Arial"/>
        <family val="0"/>
        <charset val="1"/>
      </rPr>
      <t xml:space="preserve">+4.9%</t>
    </r>
    <r>
      <rPr>
        <sz val="10"/>
        <rFont val="Arial Unicode MS"/>
        <family val="2"/>
        <charset val="1"/>
      </rPr>
      <t xml:space="preserve">，绿区；实际成本全程高于计划（最高</t>
    </r>
    <r>
      <rPr>
        <sz val="10"/>
        <rFont val="Arial"/>
        <family val="0"/>
        <charset val="1"/>
      </rPr>
      <t xml:space="preserve">+6%</t>
    </r>
    <r>
      <rPr>
        <sz val="10"/>
        <rFont val="Arial Unicode MS"/>
        <family val="2"/>
        <charset val="1"/>
      </rPr>
      <t xml:space="preserve">），更大规模项目可能放大为超限</t>
    </r>
  </si>
  <si>
    <r>
      <rPr>
        <sz val="10"/>
        <rFont val="Arial"/>
        <family val="0"/>
        <charset val="1"/>
      </rPr>
      <t xml:space="preserve">7.07≤7.15</t>
    </r>
    <r>
      <rPr>
        <sz val="10"/>
        <rFont val="Arial Unicode MS"/>
        <family val="2"/>
        <charset val="1"/>
      </rPr>
      <t xml:space="preserve">，达标</t>
    </r>
  </si>
  <si>
    <t xml:space="preserve">达标型≥</t>
  </si>
  <si>
    <r>
      <rPr>
        <sz val="10"/>
        <rFont val="Arial"/>
        <family val="0"/>
        <charset val="1"/>
      </rPr>
      <t xml:space="preserve">78.5%≥75%</t>
    </r>
    <r>
      <rPr>
        <sz val="10"/>
        <rFont val="Arial Unicode MS"/>
        <family val="2"/>
        <charset val="1"/>
      </rPr>
      <t xml:space="preserve">，达标；缺陷加权集中于集成与系统测试（致命</t>
    </r>
    <r>
      <rPr>
        <sz val="10"/>
        <rFont val="Arial"/>
        <family val="0"/>
        <charset val="1"/>
      </rPr>
      <t xml:space="preserve">2/</t>
    </r>
    <r>
      <rPr>
        <sz val="10"/>
        <rFont val="Arial Unicode MS"/>
        <family val="2"/>
        <charset val="1"/>
      </rPr>
      <t xml:space="preserve">严重</t>
    </r>
    <r>
      <rPr>
        <sz val="10"/>
        <rFont val="Arial"/>
        <family val="0"/>
        <charset val="1"/>
      </rPr>
      <t xml:space="preserve">15</t>
    </r>
    <r>
      <rPr>
        <sz val="10"/>
        <rFont val="Arial Unicode MS"/>
        <family val="2"/>
        <charset val="1"/>
      </rPr>
      <t xml:space="preserve">），评审与单测宜前移</t>
    </r>
  </si>
  <si>
    <t xml:space="preserve">评审效率</t>
  </si>
  <si>
    <r>
      <rPr>
        <sz val="10"/>
        <rFont val="Arial"/>
        <family val="0"/>
        <charset val="1"/>
      </rPr>
      <t xml:space="preserve">0.758≥0.75</t>
    </r>
    <r>
      <rPr>
        <sz val="10"/>
        <rFont val="Arial Unicode MS"/>
        <family val="2"/>
        <charset val="1"/>
      </rPr>
      <t xml:space="preserve">，达标</t>
    </r>
  </si>
  <si>
    <t xml:space="preserve">自动统计</t>
  </si>
  <si>
    <r>
      <rPr>
        <sz val="10"/>
        <rFont val="Arial Unicode MS"/>
        <family val="2"/>
        <charset val="1"/>
      </rPr>
      <t xml:space="preserve">● 正常</t>
    </r>
    <r>
      <rPr>
        <sz val="10"/>
        <rFont val="Arial"/>
        <family val="0"/>
        <charset val="1"/>
      </rPr>
      <t xml:space="preserve">/</t>
    </r>
    <r>
      <rPr>
        <sz val="10"/>
        <rFont val="Arial Unicode MS"/>
        <family val="2"/>
        <charset val="1"/>
      </rPr>
      <t xml:space="preserve">达标</t>
    </r>
  </si>
  <si>
    <t xml:space="preserve">▲ 预警</t>
  </si>
  <si>
    <r>
      <rPr>
        <sz val="10"/>
        <rFont val="Arial Unicode MS"/>
        <family val="2"/>
        <charset val="1"/>
      </rPr>
      <t xml:space="preserve">✖ 超限</t>
    </r>
    <r>
      <rPr>
        <sz val="10"/>
        <rFont val="Arial"/>
        <family val="0"/>
        <charset val="1"/>
      </rPr>
      <t xml:space="preserve">/</t>
    </r>
    <r>
      <rPr>
        <sz val="10"/>
        <rFont val="Arial Unicode MS"/>
        <family val="2"/>
        <charset val="1"/>
      </rPr>
      <t xml:space="preserve">未达标</t>
    </r>
  </si>
  <si>
    <t xml:space="preserve">自动结论</t>
  </si>
  <si>
    <t xml:space="preserve">总体研判（来自分析报告）</t>
  </si>
  <si>
    <r>
      <rPr>
        <sz val="10"/>
        <rFont val="Arial Unicode MS"/>
        <family val="2"/>
        <charset val="1"/>
      </rPr>
      <t xml:space="preserve">两个项目的工作量、进度、成本偏差均未突破</t>
    </r>
    <r>
      <rPr>
        <sz val="10"/>
        <rFont val="Arial"/>
        <family val="0"/>
        <charset val="1"/>
      </rPr>
      <t xml:space="preserve">±15%</t>
    </r>
    <r>
      <rPr>
        <sz val="10"/>
        <rFont val="Arial Unicode MS"/>
        <family val="2"/>
        <charset val="1"/>
      </rPr>
      <t xml:space="preserve">控制范围，总体受控。</t>
    </r>
    <r>
      <rPr>
        <sz val="10"/>
        <rFont val="Arial"/>
        <family val="0"/>
        <charset val="1"/>
      </rPr>
      <t xml:space="preserve">P1</t>
    </r>
    <r>
      <rPr>
        <sz val="10"/>
        <rFont val="Arial Unicode MS"/>
        <family val="2"/>
        <charset val="1"/>
      </rPr>
      <t xml:space="preserve">三项偏差全部落在绿区（工作量</t>
    </r>
    <r>
      <rPr>
        <sz val="10"/>
        <rFont val="Arial"/>
        <family val="0"/>
        <charset val="1"/>
      </rPr>
      <t xml:space="preserve">-4.6%</t>
    </r>
    <r>
      <rPr>
        <sz val="10"/>
        <rFont val="Arial Unicode MS"/>
        <family val="2"/>
        <charset val="1"/>
      </rPr>
      <t xml:space="preserve">、成本</t>
    </r>
    <r>
      <rPr>
        <sz val="10"/>
        <rFont val="Arial"/>
        <family val="0"/>
        <charset val="1"/>
      </rPr>
      <t xml:space="preserve">-4.4%</t>
    </r>
    <r>
      <rPr>
        <sz val="10"/>
        <rFont val="Arial Unicode MS"/>
        <family val="2"/>
        <charset val="1"/>
      </rPr>
      <t xml:space="preserve">、进度</t>
    </r>
    <r>
      <rPr>
        <sz val="10"/>
        <rFont val="Arial"/>
        <family val="0"/>
        <charset val="1"/>
      </rPr>
      <t xml:space="preserve">0</t>
    </r>
    <r>
      <rPr>
        <sz val="10"/>
        <rFont val="Arial Unicode MS"/>
        <family val="2"/>
        <charset val="1"/>
      </rPr>
      <t xml:space="preserve">），但其进度零偏差与成本高度规则化的数据存在采集质量疑点，结论可信度打折。</t>
    </r>
    <r>
      <rPr>
        <sz val="10"/>
        <rFont val="Arial"/>
        <family val="0"/>
        <charset val="1"/>
      </rPr>
      <t xml:space="preserve">P2</t>
    </r>
    <r>
      <rPr>
        <sz val="10"/>
        <rFont val="Arial Unicode MS"/>
        <family val="2"/>
        <charset val="1"/>
      </rPr>
      <t xml:space="preserve">数据链完整且自洽：工作量</t>
    </r>
    <r>
      <rPr>
        <sz val="10"/>
        <rFont val="Arial"/>
        <family val="0"/>
        <charset val="1"/>
      </rPr>
      <t xml:space="preserve">-1.6%</t>
    </r>
    <r>
      <rPr>
        <sz val="10"/>
        <rFont val="Arial Unicode MS"/>
        <family val="2"/>
        <charset val="1"/>
      </rPr>
      <t xml:space="preserve">、成本</t>
    </r>
    <r>
      <rPr>
        <sz val="10"/>
        <rFont val="Arial"/>
        <family val="0"/>
        <charset val="1"/>
      </rPr>
      <t xml:space="preserve">+4.9%</t>
    </r>
    <r>
      <rPr>
        <sz val="10"/>
        <rFont val="Arial Unicode MS"/>
        <family val="2"/>
        <charset val="1"/>
      </rPr>
      <t xml:space="preserve">为绿，累计工期偏差在系统设计阶段达到</t>
    </r>
    <r>
      <rPr>
        <sz val="10"/>
        <rFont val="Arial"/>
        <family val="0"/>
        <charset val="1"/>
      </rPr>
      <t xml:space="preserve">10%</t>
    </r>
    <r>
      <rPr>
        <sz val="10"/>
        <rFont val="Arial Unicode MS"/>
        <family val="2"/>
        <charset val="1"/>
      </rPr>
      <t xml:space="preserve">触及黄区后收敛至</t>
    </r>
    <r>
      <rPr>
        <sz val="10"/>
        <rFont val="Arial"/>
        <family val="0"/>
        <charset val="1"/>
      </rPr>
      <t xml:space="preserve">7.4%</t>
    </r>
    <r>
      <rPr>
        <sz val="10"/>
        <rFont val="Arial Unicode MS"/>
        <family val="2"/>
        <charset val="1"/>
      </rPr>
      <t xml:space="preserve">回到绿区，缺陷探测率</t>
    </r>
    <r>
      <rPr>
        <sz val="10"/>
        <rFont val="Arial"/>
        <family val="0"/>
        <charset val="1"/>
      </rPr>
      <t xml:space="preserve">78.5%</t>
    </r>
    <r>
      <rPr>
        <sz val="10"/>
        <rFont val="Arial Unicode MS"/>
        <family val="2"/>
        <charset val="1"/>
      </rPr>
      <t xml:space="preserve">、评审效率</t>
    </r>
    <r>
      <rPr>
        <sz val="10"/>
        <rFont val="Arial"/>
        <family val="0"/>
        <charset val="1"/>
      </rPr>
      <t xml:space="preserve">0.758</t>
    </r>
    <r>
      <rPr>
        <sz val="10"/>
        <rFont val="Arial Unicode MS"/>
        <family val="2"/>
        <charset val="1"/>
      </rPr>
      <t xml:space="preserve">、功能点耗时率</t>
    </r>
    <r>
      <rPr>
        <sz val="10"/>
        <rFont val="Arial"/>
        <family val="0"/>
        <charset val="1"/>
      </rPr>
      <t xml:space="preserve">7.07</t>
    </r>
    <r>
      <rPr>
        <sz val="10"/>
        <rFont val="Arial Unicode MS"/>
        <family val="2"/>
        <charset val="1"/>
      </rPr>
      <t xml:space="preserve">人时</t>
    </r>
    <r>
      <rPr>
        <sz val="10"/>
        <rFont val="Arial"/>
        <family val="0"/>
        <charset val="1"/>
      </rPr>
      <t xml:space="preserve">/FP</t>
    </r>
    <r>
      <rPr>
        <sz val="10"/>
        <rFont val="Arial Unicode MS"/>
        <family val="2"/>
        <charset val="1"/>
      </rPr>
      <t xml:space="preserve">三项质量指标全部达标。</t>
    </r>
    <r>
      <rPr>
        <sz val="10"/>
        <rFont val="Arial"/>
        <family val="0"/>
        <charset val="1"/>
      </rPr>
      <t xml:space="preserve">P2</t>
    </r>
    <r>
      <rPr>
        <sz val="10"/>
        <rFont val="Arial Unicode MS"/>
        <family val="2"/>
        <charset val="1"/>
      </rPr>
      <t xml:space="preserve">可作为组织级度量基线的主参照，</t>
    </r>
    <r>
      <rPr>
        <sz val="10"/>
        <rFont val="Arial"/>
        <family val="0"/>
        <charset val="1"/>
      </rPr>
      <t xml:space="preserve">P1</t>
    </r>
    <r>
      <rPr>
        <sz val="10"/>
        <rFont val="Arial Unicode MS"/>
        <family val="2"/>
        <charset val="1"/>
      </rPr>
      <t xml:space="preserve">数据需先治理后使用。</t>
    </r>
  </si>
  <si>
    <t xml:space="preserve">主要风险</t>
  </si>
  <si>
    <t xml:space="preserve">R1</t>
  </si>
  <si>
    <r>
      <rPr>
        <sz val="10"/>
        <rFont val="Arial"/>
        <family val="0"/>
        <charset val="1"/>
      </rPr>
      <t xml:space="preserve">P1</t>
    </r>
    <r>
      <rPr>
        <sz val="10"/>
        <rFont val="Arial Unicode MS"/>
        <family val="2"/>
        <charset val="1"/>
      </rPr>
      <t xml:space="preserve">度量数据真实性存疑（成本疑按固定比例折算、进度偏差被抹平、编码阶段计划天数疑按实际回填），以其为基线会系统性低估偏差风险</t>
    </r>
  </si>
  <si>
    <t xml:space="preserve">R2</t>
  </si>
  <si>
    <r>
      <rPr>
        <sz val="10"/>
        <rFont val="Arial"/>
        <family val="0"/>
        <charset val="1"/>
      </rPr>
      <t xml:space="preserve">P1</t>
    </r>
    <r>
      <rPr>
        <sz val="10"/>
        <rFont val="Arial Unicode MS"/>
        <family val="2"/>
        <charset val="1"/>
      </rPr>
      <t xml:space="preserve">规模在测试阶段估算</t>
    </r>
    <r>
      <rPr>
        <sz val="10"/>
        <rFont val="Arial"/>
        <family val="0"/>
        <charset val="1"/>
      </rPr>
      <t xml:space="preserve">187FP</t>
    </r>
    <r>
      <rPr>
        <sz val="10"/>
        <rFont val="Arial Unicode MS"/>
        <family val="2"/>
        <charset val="1"/>
      </rPr>
      <t xml:space="preserve">、验收结项实际</t>
    </r>
    <r>
      <rPr>
        <sz val="10"/>
        <rFont val="Arial"/>
        <family val="0"/>
        <charset val="1"/>
      </rPr>
      <t xml:space="preserve">256FP</t>
    </r>
    <r>
      <rPr>
        <sz val="10"/>
        <rFont val="Arial Unicode MS"/>
        <family val="2"/>
        <charset val="1"/>
      </rPr>
      <t xml:space="preserve">，跳变</t>
    </r>
    <r>
      <rPr>
        <sz val="10"/>
        <rFont val="Arial"/>
        <family val="0"/>
        <charset val="1"/>
      </rPr>
      <t xml:space="preserve">27%</t>
    </r>
    <r>
      <rPr>
        <sz val="10"/>
        <rFont val="Arial Unicode MS"/>
        <family val="2"/>
        <charset val="1"/>
      </rPr>
      <t xml:space="preserve">且无估算对照，提示需求蔓延或功能点计数口径前后不一</t>
    </r>
  </si>
  <si>
    <t xml:space="preserve">R3</t>
  </si>
  <si>
    <r>
      <rPr>
        <sz val="10"/>
        <rFont val="Arial"/>
        <family val="0"/>
        <charset val="1"/>
      </rPr>
      <t xml:space="preserve">P2</t>
    </r>
    <r>
      <rPr>
        <sz val="10"/>
        <rFont val="Arial Unicode MS"/>
        <family val="2"/>
        <charset val="1"/>
      </rPr>
      <t xml:space="preserve">系统设计、编码实现阶段累计工期偏差达</t>
    </r>
    <r>
      <rPr>
        <sz val="10"/>
        <rFont val="Arial"/>
        <family val="0"/>
        <charset val="1"/>
      </rPr>
      <t xml:space="preserve">10%</t>
    </r>
    <r>
      <rPr>
        <sz val="10"/>
        <rFont val="Arial Unicode MS"/>
        <family val="2"/>
        <charset val="1"/>
      </rPr>
      <t xml:space="preserve">、</t>
    </r>
    <r>
      <rPr>
        <sz val="10"/>
        <rFont val="Arial"/>
        <family val="0"/>
        <charset val="1"/>
      </rPr>
      <t xml:space="preserve">9.2%</t>
    </r>
    <r>
      <rPr>
        <sz val="10"/>
        <rFont val="Arial Unicode MS"/>
        <family val="2"/>
        <charset val="1"/>
      </rPr>
      <t xml:space="preserve">，逼近</t>
    </r>
    <r>
      <rPr>
        <sz val="10"/>
        <rFont val="Arial"/>
        <family val="0"/>
        <charset val="1"/>
      </rPr>
      <t xml:space="preserve">15%</t>
    </r>
    <r>
      <rPr>
        <sz val="10"/>
        <rFont val="Arial Unicode MS"/>
        <family val="2"/>
        <charset val="1"/>
      </rPr>
      <t xml:space="preserve">阈值的黄区边界，同类项目若前期延误叠加可能突破控制范围</t>
    </r>
  </si>
  <si>
    <t xml:space="preserve">R4</t>
  </si>
  <si>
    <r>
      <rPr>
        <sz val="10"/>
        <rFont val="Arial"/>
        <family val="0"/>
        <charset val="1"/>
      </rPr>
      <t xml:space="preserve">P2</t>
    </r>
    <r>
      <rPr>
        <sz val="10"/>
        <rFont val="Arial Unicode MS"/>
        <family val="2"/>
        <charset val="1"/>
      </rPr>
      <t xml:space="preserve">成本累计偏差随阶段推进最高至</t>
    </r>
    <r>
      <rPr>
        <sz val="10"/>
        <rFont val="Arial"/>
        <family val="0"/>
        <charset val="1"/>
      </rPr>
      <t xml:space="preserve">6%</t>
    </r>
    <r>
      <rPr>
        <sz val="10"/>
        <rFont val="Arial Unicode MS"/>
        <family val="2"/>
        <charset val="1"/>
      </rPr>
      <t xml:space="preserve">（编码实现），实际成本全程高于计划，规模再大的项目可能放大为红区超支</t>
    </r>
  </si>
  <si>
    <t xml:space="preserve">R5</t>
  </si>
  <si>
    <r>
      <rPr>
        <sz val="10"/>
        <rFont val="Arial Unicode MS"/>
        <family val="2"/>
        <charset val="1"/>
      </rPr>
      <t xml:space="preserve">两项目人天成本相差约</t>
    </r>
    <r>
      <rPr>
        <sz val="10"/>
        <rFont val="Arial"/>
        <family val="0"/>
        <charset val="1"/>
      </rPr>
      <t xml:space="preserve">3.7</t>
    </r>
    <r>
      <rPr>
        <sz val="10"/>
        <rFont val="Arial Unicode MS"/>
        <family val="2"/>
        <charset val="1"/>
      </rPr>
      <t xml:space="preserve">倍（</t>
    </r>
    <r>
      <rPr>
        <sz val="10"/>
        <rFont val="Arial"/>
        <family val="0"/>
        <charset val="1"/>
      </rPr>
      <t xml:space="preserve">342 vs 1278</t>
    </r>
    <r>
      <rPr>
        <sz val="10"/>
        <rFont val="Arial Unicode MS"/>
        <family val="2"/>
        <charset val="1"/>
      </rPr>
      <t xml:space="preserve">元</t>
    </r>
    <r>
      <rPr>
        <sz val="10"/>
        <rFont val="Arial"/>
        <family val="0"/>
        <charset val="1"/>
      </rPr>
      <t xml:space="preserve">/</t>
    </r>
    <r>
      <rPr>
        <sz val="10"/>
        <rFont val="Arial Unicode MS"/>
        <family val="2"/>
        <charset val="1"/>
      </rPr>
      <t xml:space="preserve">人天），成本核算口径不统一，跨项目成本对标和报价参考失真</t>
    </r>
  </si>
  <si>
    <t xml:space="preserve">R6</t>
  </si>
  <si>
    <r>
      <rPr>
        <sz val="10"/>
        <rFont val="Arial"/>
        <family val="0"/>
        <charset val="1"/>
      </rPr>
      <t xml:space="preserve">P2</t>
    </r>
    <r>
      <rPr>
        <sz val="10"/>
        <rFont val="Arial Unicode MS"/>
        <family val="2"/>
        <charset val="1"/>
      </rPr>
      <t xml:space="preserve">缺陷加权数</t>
    </r>
    <r>
      <rPr>
        <sz val="10"/>
        <rFont val="Arial"/>
        <family val="0"/>
        <charset val="1"/>
      </rPr>
      <t xml:space="preserve">102</t>
    </r>
    <r>
      <rPr>
        <sz val="10"/>
        <rFont val="Arial Unicode MS"/>
        <family val="2"/>
        <charset val="1"/>
      </rPr>
      <t xml:space="preserve">集中在集成与系统测试（致命</t>
    </r>
    <r>
      <rPr>
        <sz val="10"/>
        <rFont val="Arial"/>
        <family val="0"/>
        <charset val="1"/>
      </rPr>
      <t xml:space="preserve">2</t>
    </r>
    <r>
      <rPr>
        <sz val="10"/>
        <rFont val="Arial Unicode MS"/>
        <family val="2"/>
        <charset val="1"/>
      </rPr>
      <t xml:space="preserve">、严重</t>
    </r>
    <r>
      <rPr>
        <sz val="10"/>
        <rFont val="Arial"/>
        <family val="0"/>
        <charset val="1"/>
      </rPr>
      <t xml:space="preserve">15</t>
    </r>
    <r>
      <rPr>
        <sz val="10"/>
        <rFont val="Arial Unicode MS"/>
        <family val="2"/>
        <charset val="1"/>
      </rPr>
      <t xml:space="preserve">），前移评审与单元测试投入不足的信号</t>
    </r>
  </si>
  <si>
    <t xml:space="preserve">改进建议</t>
  </si>
  <si>
    <t xml:space="preserve">S1</t>
  </si>
  <si>
    <r>
      <rPr>
        <sz val="10"/>
        <rFont val="Arial Unicode MS"/>
        <family val="2"/>
        <charset val="1"/>
      </rPr>
      <t xml:space="preserve">统一功能点计数与成本采集口径：实际成本必须实采（工时</t>
    </r>
    <r>
      <rPr>
        <sz val="10"/>
        <rFont val="Arial"/>
        <family val="0"/>
        <charset val="1"/>
      </rPr>
      <t xml:space="preserve">×</t>
    </r>
    <r>
      <rPr>
        <sz val="10"/>
        <rFont val="Arial Unicode MS"/>
        <family val="2"/>
        <charset val="1"/>
      </rPr>
      <t xml:space="preserve">费率</t>
    </r>
    <r>
      <rPr>
        <sz val="10"/>
        <rFont val="Arial"/>
        <family val="0"/>
        <charset val="1"/>
      </rPr>
      <t xml:space="preserve">+</t>
    </r>
    <r>
      <rPr>
        <sz val="10"/>
        <rFont val="Arial Unicode MS"/>
        <family val="2"/>
        <charset val="1"/>
      </rPr>
      <t xml:space="preserve">费用），禁止按估算折算回填；人天单价组织级统一定义</t>
    </r>
  </si>
  <si>
    <t xml:space="preserve">S2</t>
  </si>
  <si>
    <r>
      <rPr>
        <sz val="10"/>
        <rFont val="Arial Unicode MS"/>
        <family val="2"/>
        <charset val="1"/>
      </rPr>
      <t xml:space="preserve">建立规模基线变更管理：阶段间规模变化超过</t>
    </r>
    <r>
      <rPr>
        <sz val="10"/>
        <rFont val="Arial"/>
        <family val="0"/>
        <charset val="1"/>
      </rPr>
      <t xml:space="preserve">±10%</t>
    </r>
    <r>
      <rPr>
        <sz val="10"/>
        <rFont val="Arial Unicode MS"/>
        <family val="2"/>
        <charset val="1"/>
      </rPr>
      <t xml:space="preserve">必须走变更评审并同步修订工作量</t>
    </r>
    <r>
      <rPr>
        <sz val="10"/>
        <rFont val="Arial"/>
        <family val="0"/>
        <charset val="1"/>
      </rPr>
      <t xml:space="preserve">/</t>
    </r>
    <r>
      <rPr>
        <sz val="10"/>
        <rFont val="Arial Unicode MS"/>
        <family val="2"/>
        <charset val="1"/>
      </rPr>
      <t xml:space="preserve">成本</t>
    </r>
    <r>
      <rPr>
        <sz val="10"/>
        <rFont val="Arial"/>
        <family val="0"/>
        <charset val="1"/>
      </rPr>
      <t xml:space="preserve">/</t>
    </r>
    <r>
      <rPr>
        <sz val="10"/>
        <rFont val="Arial Unicode MS"/>
        <family val="2"/>
        <charset val="1"/>
      </rPr>
      <t xml:space="preserve">工期基线，避免</t>
    </r>
    <r>
      <rPr>
        <sz val="10"/>
        <rFont val="Arial"/>
        <family val="0"/>
        <charset val="1"/>
      </rPr>
      <t xml:space="preserve">P1</t>
    </r>
    <r>
      <rPr>
        <sz val="10"/>
        <rFont val="Arial Unicode MS"/>
        <family val="2"/>
        <charset val="1"/>
      </rPr>
      <t xml:space="preserve">式的验收期规模跳变</t>
    </r>
  </si>
  <si>
    <t xml:space="preserve">S3</t>
  </si>
  <si>
    <r>
      <rPr>
        <sz val="10"/>
        <rFont val="Arial Unicode MS"/>
        <family val="2"/>
        <charset val="1"/>
      </rPr>
      <t xml:space="preserve">对设计、编码阶段设置进度里程碑检查点（</t>
    </r>
    <r>
      <rPr>
        <sz val="10"/>
        <rFont val="Arial"/>
        <family val="0"/>
        <charset val="1"/>
      </rPr>
      <t xml:space="preserve">P2</t>
    </r>
    <r>
      <rPr>
        <sz val="10"/>
        <rFont val="Arial Unicode MS"/>
        <family val="2"/>
        <charset val="1"/>
      </rPr>
      <t xml:space="preserve">经验：累计偏差在设计阶段即达</t>
    </r>
    <r>
      <rPr>
        <sz val="10"/>
        <rFont val="Arial"/>
        <family val="0"/>
        <charset val="1"/>
      </rPr>
      <t xml:space="preserve">10%</t>
    </r>
    <r>
      <rPr>
        <sz val="10"/>
        <rFont val="Arial Unicode MS"/>
        <family val="2"/>
        <charset val="1"/>
      </rPr>
      <t xml:space="preserve">），偏差进入黄区即启动赶工或范围裁剪决策</t>
    </r>
  </si>
  <si>
    <t xml:space="preserve">S4</t>
  </si>
  <si>
    <r>
      <rPr>
        <sz val="10"/>
        <rFont val="Arial Unicode MS"/>
        <family val="2"/>
        <charset val="1"/>
      </rPr>
      <t xml:space="preserve">以</t>
    </r>
    <r>
      <rPr>
        <sz val="10"/>
        <rFont val="Arial"/>
        <family val="0"/>
        <charset val="1"/>
      </rPr>
      <t xml:space="preserve">P2</t>
    </r>
    <r>
      <rPr>
        <sz val="10"/>
        <rFont val="Arial Unicode MS"/>
        <family val="2"/>
        <charset val="1"/>
      </rPr>
      <t xml:space="preserve">为参照建立组织级基线：生产率</t>
    </r>
    <r>
      <rPr>
        <sz val="10"/>
        <rFont val="Arial"/>
        <family val="0"/>
        <charset val="1"/>
      </rPr>
      <t xml:space="preserve">1.09~1.13 FP/</t>
    </r>
    <r>
      <rPr>
        <sz val="10"/>
        <rFont val="Arial Unicode MS"/>
        <family val="2"/>
        <charset val="1"/>
      </rPr>
      <t xml:space="preserve">人天、功能点耗时率</t>
    </r>
    <r>
      <rPr>
        <sz val="10"/>
        <rFont val="Arial"/>
        <family val="0"/>
        <charset val="1"/>
      </rPr>
      <t xml:space="preserve">7.07~7.36</t>
    </r>
    <r>
      <rPr>
        <sz val="10"/>
        <rFont val="Arial Unicode MS"/>
        <family val="2"/>
        <charset val="1"/>
      </rPr>
      <t xml:space="preserve">人时</t>
    </r>
    <r>
      <rPr>
        <sz val="10"/>
        <rFont val="Arial"/>
        <family val="0"/>
        <charset val="1"/>
      </rPr>
      <t xml:space="preserve">/FP</t>
    </r>
    <r>
      <rPr>
        <sz val="10"/>
        <rFont val="Arial Unicode MS"/>
        <family val="2"/>
        <charset val="1"/>
      </rPr>
      <t xml:space="preserve">，用于新项目（如本供水营销管理系统</t>
    </r>
    <r>
      <rPr>
        <sz val="10"/>
        <rFont val="Arial"/>
        <family val="0"/>
        <charset val="1"/>
      </rPr>
      <t xml:space="preserve">24</t>
    </r>
    <r>
      <rPr>
        <sz val="10"/>
        <rFont val="Arial Unicode MS"/>
        <family val="2"/>
        <charset val="1"/>
      </rPr>
      <t xml:space="preserve">个二级功能）的估算复核</t>
    </r>
  </si>
  <si>
    <t xml:space="preserve">S5</t>
  </si>
  <si>
    <r>
      <rPr>
        <sz val="10"/>
        <rFont val="Arial Unicode MS"/>
        <family val="2"/>
        <charset val="1"/>
      </rPr>
      <t xml:space="preserve">度量数据入库前增加完整性与逻辑校验：项目属性表必填项校验、日期与天数一致性校验（实际完成晚于计划则偏差天数不得为</t>
    </r>
    <r>
      <rPr>
        <sz val="10"/>
        <rFont val="Arial"/>
        <family val="0"/>
        <charset val="1"/>
      </rPr>
      <t xml:space="preserve">0</t>
    </r>
    <r>
      <rPr>
        <sz val="10"/>
        <rFont val="Arial Unicode MS"/>
        <family val="2"/>
        <charset val="1"/>
      </rPr>
      <t xml:space="preserve">）、偏差率重算比对</t>
    </r>
  </si>
  <si>
    <t xml:space="preserve">S6</t>
  </si>
  <si>
    <r>
      <rPr>
        <sz val="10"/>
        <rFont val="Arial Unicode MS"/>
        <family val="2"/>
        <charset val="1"/>
      </rPr>
      <t xml:space="preserve">加强评审与测试前移：参照</t>
    </r>
    <r>
      <rPr>
        <sz val="10"/>
        <rFont val="Arial"/>
        <family val="0"/>
        <charset val="1"/>
      </rPr>
      <t xml:space="preserve">P2</t>
    </r>
    <r>
      <rPr>
        <sz val="10"/>
        <rFont val="Arial Unicode MS"/>
        <family val="2"/>
        <charset val="1"/>
      </rPr>
      <t xml:space="preserve">评审效率</t>
    </r>
    <r>
      <rPr>
        <sz val="10"/>
        <rFont val="Arial"/>
        <family val="0"/>
        <charset val="1"/>
      </rPr>
      <t xml:space="preserve">0.758</t>
    </r>
    <r>
      <rPr>
        <sz val="10"/>
        <rFont val="Arial Unicode MS"/>
        <family val="2"/>
        <charset val="1"/>
      </rPr>
      <t xml:space="preserve">个</t>
    </r>
    <r>
      <rPr>
        <sz val="10"/>
        <rFont val="Arial"/>
        <family val="0"/>
        <charset val="1"/>
      </rPr>
      <t xml:space="preserve">/</t>
    </r>
    <r>
      <rPr>
        <sz val="10"/>
        <rFont val="Arial Unicode MS"/>
        <family val="2"/>
        <charset val="1"/>
      </rPr>
      <t xml:space="preserve">人时的水平配置评审工时，将严重缺陷拦截在集成测试之前以降低缺陷加权数</t>
    </r>
  </si>
  <si>
    <r>
      <rPr>
        <b val="true"/>
        <sz val="12"/>
        <color rgb="FF1F4E79"/>
        <rFont val="Arial Unicode MS"/>
        <family val="2"/>
        <charset val="1"/>
      </rPr>
      <t xml:space="preserve">《供水营销管理系统》功能分解（</t>
    </r>
    <r>
      <rPr>
        <b val="true"/>
        <sz val="12"/>
        <color rgb="FF1F4E79"/>
        <rFont val="Arial"/>
        <family val="0"/>
        <charset val="1"/>
      </rPr>
      <t xml:space="preserve">WBS</t>
    </r>
    <r>
      <rPr>
        <b val="true"/>
        <sz val="12"/>
        <color rgb="FF1F4E79"/>
        <rFont val="Arial Unicode MS"/>
        <family val="2"/>
        <charset val="1"/>
      </rPr>
      <t xml:space="preserve">）全清单　来源：需求规格说明书（</t>
    </r>
    <r>
      <rPr>
        <b val="true"/>
        <sz val="12"/>
        <color rgb="FF1F4E79"/>
        <rFont val="Arial"/>
        <family val="0"/>
        <charset val="1"/>
      </rPr>
      <t xml:space="preserve">srs_full.txt</t>
    </r>
    <r>
      <rPr>
        <b val="true"/>
        <sz val="12"/>
        <color rgb="FF1F4E79"/>
        <rFont val="Arial Unicode MS"/>
        <family val="2"/>
        <charset val="1"/>
      </rPr>
      <t xml:space="preserve">）</t>
    </r>
  </si>
  <si>
    <t xml:space="preserve">模块数</t>
  </si>
  <si>
    <t xml:space="preserve">功能数</t>
  </si>
  <si>
    <r>
      <rPr>
        <b val="true"/>
        <sz val="10"/>
        <rFont val="Arial"/>
        <family val="0"/>
        <charset val="1"/>
      </rPr>
      <t xml:space="preserve">P1</t>
    </r>
    <r>
      <rPr>
        <b val="true"/>
        <sz val="10"/>
        <rFont val="Arial Unicode MS"/>
        <family val="2"/>
        <charset val="1"/>
      </rPr>
      <t xml:space="preserve">数</t>
    </r>
  </si>
  <si>
    <r>
      <rPr>
        <i val="true"/>
        <sz val="9"/>
        <color rgb="FF808080"/>
        <rFont val="Arial Unicode MS"/>
        <family val="2"/>
        <charset val="1"/>
      </rPr>
      <t xml:space="preserve">优先级映射：</t>
    </r>
    <r>
      <rPr>
        <i val="true"/>
        <sz val="9"/>
        <color rgb="FF808080"/>
        <rFont val="Arial"/>
        <family val="0"/>
        <charset val="1"/>
      </rPr>
      <t xml:space="preserve">SRS</t>
    </r>
    <r>
      <rPr>
        <i val="true"/>
        <sz val="9"/>
        <color rgb="FF808080"/>
        <rFont val="Arial Unicode MS"/>
        <family val="2"/>
        <charset val="1"/>
      </rPr>
      <t xml:space="preserve">优先级</t>
    </r>
    <r>
      <rPr>
        <i val="true"/>
        <sz val="9"/>
        <color rgb="FF808080"/>
        <rFont val="Arial"/>
        <family val="0"/>
        <charset val="1"/>
      </rPr>
      <t xml:space="preserve">1→P1 </t>
    </r>
    <r>
      <rPr>
        <i val="true"/>
        <sz val="9"/>
        <color rgb="FF808080"/>
        <rFont val="Arial Unicode MS"/>
        <family val="2"/>
        <charset val="1"/>
      </rPr>
      <t xml:space="preserve">高（核心必备）；</t>
    </r>
    <r>
      <rPr>
        <i val="true"/>
        <sz val="9"/>
        <color rgb="FF808080"/>
        <rFont val="Arial"/>
        <family val="0"/>
        <charset val="1"/>
      </rPr>
      <t xml:space="preserve">2→P2 </t>
    </r>
    <r>
      <rPr>
        <i val="true"/>
        <sz val="9"/>
        <color rgb="FF808080"/>
        <rFont val="Arial Unicode MS"/>
        <family val="2"/>
        <charset val="1"/>
      </rPr>
      <t xml:space="preserve">中高；</t>
    </r>
    <r>
      <rPr>
        <i val="true"/>
        <sz val="9"/>
        <color rgb="FF808080"/>
        <rFont val="Arial"/>
        <family val="0"/>
        <charset val="1"/>
      </rPr>
      <t xml:space="preserve">5→P3 </t>
    </r>
    <r>
      <rPr>
        <i val="true"/>
        <sz val="9"/>
        <color rgb="FF808080"/>
        <rFont val="Arial Unicode MS"/>
        <family val="2"/>
        <charset val="1"/>
      </rPr>
      <t xml:space="preserve">一般</t>
    </r>
  </si>
  <si>
    <r>
      <rPr>
        <b val="true"/>
        <sz val="10"/>
        <rFont val="Arial"/>
        <family val="0"/>
        <charset val="1"/>
      </rPr>
      <t xml:space="preserve">P2</t>
    </r>
    <r>
      <rPr>
        <b val="true"/>
        <sz val="10"/>
        <rFont val="Arial Unicode MS"/>
        <family val="2"/>
        <charset val="1"/>
      </rPr>
      <t xml:space="preserve">数</t>
    </r>
  </si>
  <si>
    <r>
      <rPr>
        <i val="true"/>
        <sz val="9"/>
        <color rgb="FF808080"/>
        <rFont val="Arial Unicode MS"/>
        <family val="2"/>
        <charset val="1"/>
      </rPr>
      <t xml:space="preserve">统计为</t>
    </r>
    <r>
      <rPr>
        <i val="true"/>
        <sz val="9"/>
        <color rgb="FF808080"/>
        <rFont val="Arial"/>
        <family val="0"/>
        <charset val="1"/>
      </rPr>
      <t xml:space="preserve">COUNTA/COUNTIF</t>
    </r>
    <r>
      <rPr>
        <i val="true"/>
        <sz val="9"/>
        <color rgb="FF808080"/>
        <rFont val="Arial Unicode MS"/>
        <family val="2"/>
        <charset val="1"/>
      </rPr>
      <t xml:space="preserve">公式，随清单增删联动</t>
    </r>
  </si>
  <si>
    <r>
      <rPr>
        <b val="true"/>
        <sz val="10"/>
        <rFont val="Arial"/>
        <family val="0"/>
        <charset val="1"/>
      </rPr>
      <t xml:space="preserve">P3</t>
    </r>
    <r>
      <rPr>
        <b val="true"/>
        <sz val="10"/>
        <rFont val="Arial Unicode MS"/>
        <family val="2"/>
        <charset val="1"/>
      </rPr>
      <t xml:space="preserve">数</t>
    </r>
  </si>
  <si>
    <t xml:space="preserve">（首行已冻结，表头行已开启自动筛选）</t>
  </si>
  <si>
    <t xml:space="preserve">模块编号</t>
  </si>
  <si>
    <t xml:space="preserve">模块名称</t>
  </si>
  <si>
    <t xml:space="preserve">功能编号</t>
  </si>
  <si>
    <t xml:space="preserve">功能名称</t>
  </si>
  <si>
    <t xml:space="preserve">优先级</t>
  </si>
  <si>
    <t xml:space="preserve">优先级说明</t>
  </si>
  <si>
    <r>
      <rPr>
        <b val="true"/>
        <sz val="10"/>
        <color rgb="FFFFFFFF"/>
        <rFont val="Arial"/>
        <family val="0"/>
        <charset val="1"/>
      </rPr>
      <t xml:space="preserve">SRS</t>
    </r>
    <r>
      <rPr>
        <b val="true"/>
        <sz val="10"/>
        <color rgb="FFFFFFFF"/>
        <rFont val="Arial Unicode MS"/>
        <family val="2"/>
        <charset val="1"/>
      </rPr>
      <t xml:space="preserve">章节</t>
    </r>
  </si>
  <si>
    <t xml:space="preserve">细化功能描述</t>
  </si>
  <si>
    <t xml:space="preserve">主要输入</t>
  </si>
  <si>
    <t xml:space="preserve">主要输出</t>
  </si>
  <si>
    <t xml:space="preserve">验收要点</t>
  </si>
  <si>
    <t xml:space="preserve">备注问题</t>
  </si>
  <si>
    <t xml:space="preserve">M1</t>
  </si>
  <si>
    <t xml:space="preserve">档案基础数据</t>
  </si>
  <si>
    <t xml:space="preserve">FR-1.1</t>
  </si>
  <si>
    <t xml:space="preserve">用户状态</t>
  </si>
  <si>
    <t xml:space="preserve">高（核心必备）</t>
  </si>
  <si>
    <t xml:space="preserve">4.1.1</t>
  </si>
  <si>
    <r>
      <rPr>
        <sz val="10"/>
        <rFont val="Arial Unicode MS"/>
        <family val="2"/>
        <charset val="1"/>
      </rPr>
      <t xml:space="preserve">维护用水户生命周期状态字典。管理对象为用户状态代码表，字段应含：状态编码（唯一、创建后不可改）、状态名称（如正常、报停、暂停、违章、销户）、是否抄表标志、是否计费标志、是否允许缴费标志、启用</t>
    </r>
    <r>
      <rPr>
        <sz val="10"/>
        <rFont val="Arial"/>
        <family val="0"/>
        <charset val="1"/>
      </rPr>
      <t xml:space="preserve">/</t>
    </r>
    <r>
      <rPr>
        <sz val="10"/>
        <rFont val="Arial Unicode MS"/>
        <family val="2"/>
        <charset val="1"/>
      </rPr>
      <t xml:space="preserve">停用标志、排序号、备注。规则：状态被客户档案引用后禁止删除、只能停用；『是否抄表』决定抄表计划是否为该状态用户生成抄表任务；『是否允许缴费』供公众缴费平台配置（</t>
    </r>
    <r>
      <rPr>
        <sz val="10"/>
        <rFont val="Arial"/>
        <family val="0"/>
        <charset val="1"/>
      </rPr>
      <t xml:space="preserve">4.3.4</t>
    </r>
    <r>
      <rPr>
        <sz val="10"/>
        <rFont val="Arial Unicode MS"/>
        <family val="2"/>
        <charset val="1"/>
      </rPr>
      <t xml:space="preserve">限制用户状态）引用，拦截不允许状态用户的线上缴费；『是否计费』决定开账时是否生成水费账单。</t>
    </r>
  </si>
  <si>
    <r>
      <rPr>
        <sz val="10"/>
        <rFont val="Arial Unicode MS"/>
        <family val="2"/>
        <charset val="1"/>
      </rPr>
      <t xml:space="preserve">状态编码；状态名称；是否抄表标志；是否计费标志；是否允许缴费标志；启用</t>
    </r>
    <r>
      <rPr>
        <sz val="10"/>
        <rFont val="Arial"/>
        <family val="0"/>
        <charset val="1"/>
      </rPr>
      <t xml:space="preserve">/</t>
    </r>
    <r>
      <rPr>
        <sz val="10"/>
        <rFont val="Arial Unicode MS"/>
        <family val="2"/>
        <charset val="1"/>
      </rPr>
      <t xml:space="preserve">停用标志；备注</t>
    </r>
  </si>
  <si>
    <r>
      <rPr>
        <sz val="10"/>
        <rFont val="Arial Unicode MS"/>
        <family val="2"/>
        <charset val="1"/>
      </rPr>
      <t xml:space="preserve">用户状态列表（含各状态引用户数）；新增</t>
    </r>
    <r>
      <rPr>
        <sz val="10"/>
        <rFont val="Arial"/>
        <family val="0"/>
        <charset val="1"/>
      </rPr>
      <t xml:space="preserve">/</t>
    </r>
    <r>
      <rPr>
        <sz val="10"/>
        <rFont val="Arial Unicode MS"/>
        <family val="2"/>
        <charset val="1"/>
      </rPr>
      <t xml:space="preserve">修改</t>
    </r>
    <r>
      <rPr>
        <sz val="10"/>
        <rFont val="Arial"/>
        <family val="0"/>
        <charset val="1"/>
      </rPr>
      <t xml:space="preserve">/</t>
    </r>
    <r>
      <rPr>
        <sz val="10"/>
        <rFont val="Arial Unicode MS"/>
        <family val="2"/>
        <charset val="1"/>
      </rPr>
      <t xml:space="preserve">启停用操作结果提示</t>
    </r>
  </si>
  <si>
    <r>
      <rPr>
        <sz val="10"/>
        <rFont val="Arial Unicode MS"/>
        <family val="2"/>
        <charset val="1"/>
      </rPr>
      <t xml:space="preserve">新增编码重复的状态时被系统拒绝并给出明确提示
将某状态『是否抄表』置否后，该状态用户不再出现在新生成的抄表计划中
被至少</t>
    </r>
    <r>
      <rPr>
        <sz val="10"/>
        <rFont val="Arial"/>
        <family val="0"/>
        <charset val="1"/>
      </rPr>
      <t xml:space="preserve">1</t>
    </r>
    <r>
      <rPr>
        <sz val="10"/>
        <rFont val="Arial Unicode MS"/>
        <family val="2"/>
        <charset val="1"/>
      </rPr>
      <t xml:space="preserve">户引用的状态执行删除操作被拒绝，执行停用成功且新档案下拉不再出现该状态</t>
    </r>
  </si>
  <si>
    <r>
      <rPr>
        <sz val="10"/>
        <rFont val="Arial"/>
        <family val="0"/>
        <charset val="1"/>
      </rPr>
      <t xml:space="preserve">SRS</t>
    </r>
    <r>
      <rPr>
        <sz val="10"/>
        <rFont val="Arial Unicode MS"/>
        <family val="2"/>
        <charset val="1"/>
      </rPr>
      <t xml:space="preserve">操作序列写『点击用户管理，新增』，应为『用户状态管理』，疑为编写笔误；</t>
    </r>
    <r>
      <rPr>
        <sz val="10"/>
        <rFont val="Arial"/>
        <family val="0"/>
        <charset val="1"/>
      </rPr>
      <t xml:space="preserve">SRS</t>
    </r>
    <r>
      <rPr>
        <sz val="10"/>
        <rFont val="Arial Unicode MS"/>
        <family val="2"/>
        <charset val="1"/>
      </rPr>
      <t xml:space="preserve">未定义任何字段与状态取值清单，是否计费</t>
    </r>
    <r>
      <rPr>
        <sz val="10"/>
        <rFont val="Arial"/>
        <family val="0"/>
        <charset val="1"/>
      </rPr>
      <t xml:space="preserve">/</t>
    </r>
    <r>
      <rPr>
        <sz val="10"/>
        <rFont val="Arial Unicode MS"/>
        <family val="2"/>
        <charset val="1"/>
      </rPr>
      <t xml:space="preserve">是否允许缴费标志为本次细化补充，需与业务确认。</t>
    </r>
  </si>
  <si>
    <t xml:space="preserve">FR-1.2</t>
  </si>
  <si>
    <t xml:space="preserve">用户分类</t>
  </si>
  <si>
    <t xml:space="preserve">P3</t>
  </si>
  <si>
    <t xml:space="preserve">4.1.2</t>
  </si>
  <si>
    <r>
      <rPr>
        <sz val="10"/>
        <rFont val="Arial Unicode MS"/>
        <family val="2"/>
        <charset val="1"/>
      </rPr>
      <t xml:space="preserve">维护用户性质分类字典，用于统计与政策口径管理。字段应含：分类编码（唯一）、分类名称（如居民、非居民、单位、趸售、特困减免户）、上级分类（支持树形）、启用</t>
    </r>
    <r>
      <rPr>
        <sz val="10"/>
        <rFont val="Arial"/>
        <family val="0"/>
        <charset val="1"/>
      </rPr>
      <t xml:space="preserve">/</t>
    </r>
    <r>
      <rPr>
        <sz val="10"/>
        <rFont val="Arial Unicode MS"/>
        <family val="2"/>
        <charset val="1"/>
      </rPr>
      <t xml:space="preserve">停用标志、备注。规则：分类被客户档案引用后禁止删除；用户分类可作为水价方案、报表统计、优惠适用范围的筛选维度；与行业分类（</t>
    </r>
    <r>
      <rPr>
        <sz val="10"/>
        <rFont val="Arial"/>
        <family val="0"/>
        <charset val="1"/>
      </rPr>
      <t xml:space="preserve">FR-1.4</t>
    </r>
    <r>
      <rPr>
        <sz val="10"/>
        <rFont val="Arial Unicode MS"/>
        <family val="2"/>
        <charset val="1"/>
      </rPr>
      <t xml:space="preserve">）职责区分：用户分类描述『用户性质』，行业分类描述『用水性质』。</t>
    </r>
  </si>
  <si>
    <t xml:space="preserve">分类编码；分类名称；上级分类；启停用标志；备注</t>
  </si>
  <si>
    <t xml:space="preserve">用户分类列表；操作结果提示</t>
  </si>
  <si>
    <t xml:space="preserve">新增两级分类后档案立户界面可级联选择
删除被引用分类被拒绝，停用后新档案不可再选择该分类</t>
  </si>
  <si>
    <r>
      <rPr>
        <sz val="10"/>
        <rFont val="Arial"/>
        <family val="0"/>
        <charset val="1"/>
      </rPr>
      <t xml:space="preserve">SRS</t>
    </r>
    <r>
      <rPr>
        <sz val="10"/>
        <rFont val="Arial Unicode MS"/>
        <family val="2"/>
        <charset val="1"/>
      </rPr>
      <t xml:space="preserve">未说明用户分类与水价、优惠、报表的关联关系，本细化按营销系统惯例补充，需业务确认。</t>
    </r>
  </si>
  <si>
    <t xml:space="preserve">FR-1.3</t>
  </si>
  <si>
    <t xml:space="preserve">抄表周期</t>
  </si>
  <si>
    <t xml:space="preserve">4.1.3</t>
  </si>
  <si>
    <r>
      <rPr>
        <sz val="10"/>
        <rFont val="Arial Unicode MS"/>
        <family val="2"/>
        <charset val="1"/>
      </rPr>
      <t xml:space="preserve">维护抄表周期字典，驱动抄表计划的生成节奏。字段应含：周期编码、周期名称（如月抄、双月抄、季抄）、间隔月数、每期例抄日（日历日或工作日偏移）、启用</t>
    </r>
    <r>
      <rPr>
        <sz val="10"/>
        <rFont val="Arial"/>
        <family val="0"/>
        <charset val="1"/>
      </rPr>
      <t xml:space="preserve">/</t>
    </r>
    <r>
      <rPr>
        <sz val="10"/>
        <rFont val="Arial Unicode MS"/>
        <family val="2"/>
        <charset val="1"/>
      </rPr>
      <t xml:space="preserve">停用标志、备注。规则：周期挂接在表册上（一个表册一个周期），『抄表周期只能以表册为单位修改』即不允许对单户改周期，改周期须整册调整；被表册引用的周期禁止删除；周期</t>
    </r>
    <r>
      <rPr>
        <sz val="10"/>
        <rFont val="Arial"/>
        <family val="0"/>
        <charset val="1"/>
      </rPr>
      <t xml:space="preserve">+</t>
    </r>
    <r>
      <rPr>
        <sz val="10"/>
        <rFont val="Arial Unicode MS"/>
        <family val="2"/>
        <charset val="1"/>
      </rPr>
      <t xml:space="preserve">例抄日决定表册到期日，系统按到期日自动生成本期抄表计划任务。</t>
    </r>
  </si>
  <si>
    <t xml:space="preserve">周期编码；周期名称；间隔月数；例抄日；启停用标志</t>
  </si>
  <si>
    <t xml:space="preserve">抄表周期列表（含引用表册数）；操作结果提示</t>
  </si>
  <si>
    <r>
      <rPr>
        <sz val="10"/>
        <rFont val="Arial Unicode MS"/>
        <family val="2"/>
        <charset val="1"/>
      </rPr>
      <t xml:space="preserve">新建『双月抄』周期并挂接表册后，系统每</t>
    </r>
    <r>
      <rPr>
        <sz val="10"/>
        <rFont val="Arial"/>
        <family val="0"/>
        <charset val="1"/>
      </rPr>
      <t xml:space="preserve">2</t>
    </r>
    <r>
      <rPr>
        <sz val="10"/>
        <rFont val="Arial Unicode MS"/>
        <family val="2"/>
        <charset val="1"/>
      </rPr>
      <t xml:space="preserve">个月按例抄日生成一次该册抄表计划
对单个用户修改抄表周期的入口不存在（只能通过表册整体调整）
删除被引用周期被系统拒绝</t>
    </r>
  </si>
  <si>
    <r>
      <rPr>
        <sz val="10"/>
        <rFont val="Arial"/>
        <family val="0"/>
        <charset val="1"/>
      </rPr>
      <t xml:space="preserve">3.3</t>
    </r>
    <r>
      <rPr>
        <sz val="10"/>
        <rFont val="Arial Unicode MS"/>
        <family val="2"/>
        <charset val="1"/>
      </rPr>
      <t xml:space="preserve">明确『抄表周期只能以表册为单位修改』的约束，但</t>
    </r>
    <r>
      <rPr>
        <sz val="10"/>
        <rFont val="Arial"/>
        <family val="0"/>
        <charset val="1"/>
      </rPr>
      <t xml:space="preserve">4.1.3</t>
    </r>
    <r>
      <rPr>
        <sz val="10"/>
        <rFont val="Arial Unicode MS"/>
        <family val="2"/>
        <charset val="1"/>
      </rPr>
      <t xml:space="preserve">正文未重申，该规则需在表册管理（</t>
    </r>
    <r>
      <rPr>
        <sz val="10"/>
        <rFont val="Arial"/>
        <family val="0"/>
        <charset val="1"/>
      </rPr>
      <t xml:space="preserve">FR-2.2</t>
    </r>
    <r>
      <rPr>
        <sz val="10"/>
        <rFont val="Arial Unicode MS"/>
        <family val="2"/>
        <charset val="1"/>
      </rPr>
      <t xml:space="preserve">）中实现联动控制；</t>
    </r>
    <r>
      <rPr>
        <sz val="10"/>
        <rFont val="Arial"/>
        <family val="0"/>
        <charset val="1"/>
      </rPr>
      <t xml:space="preserve">SRS</t>
    </r>
    <r>
      <rPr>
        <sz val="10"/>
        <rFont val="Arial Unicode MS"/>
        <family val="2"/>
        <charset val="1"/>
      </rPr>
      <t xml:space="preserve">未定义例抄日概念，为细化补充。</t>
    </r>
  </si>
  <si>
    <t xml:space="preserve">FR-1.4</t>
  </si>
  <si>
    <t xml:space="preserve">行业分类</t>
  </si>
  <si>
    <t xml:space="preserve">4.1.4</t>
  </si>
  <si>
    <r>
      <rPr>
        <sz val="10"/>
        <rFont val="Arial Unicode MS"/>
        <family val="2"/>
        <charset val="1"/>
      </rPr>
      <t xml:space="preserve">维护用水性质的行业分类字典，支持大类</t>
    </r>
    <r>
      <rPr>
        <sz val="10"/>
        <rFont val="Arial"/>
        <family val="0"/>
        <charset val="1"/>
      </rPr>
      <t xml:space="preserve">-</t>
    </r>
    <r>
      <rPr>
        <sz val="10"/>
        <rFont val="Arial Unicode MS"/>
        <family val="2"/>
        <charset val="1"/>
      </rPr>
      <t xml:space="preserve">小类两级结构（</t>
    </r>
    <r>
      <rPr>
        <sz val="10"/>
        <rFont val="Arial"/>
        <family val="0"/>
        <charset val="1"/>
      </rPr>
      <t xml:space="preserve">SRS</t>
    </r>
    <r>
      <rPr>
        <sz val="10"/>
        <rFont val="Arial Unicode MS"/>
        <family val="2"/>
        <charset val="1"/>
      </rPr>
      <t xml:space="preserve">操作序列提到『行类大小分类』）。字段应含：大类编码</t>
    </r>
    <r>
      <rPr>
        <sz val="10"/>
        <rFont val="Arial"/>
        <family val="0"/>
        <charset val="1"/>
      </rPr>
      <t xml:space="preserve">/</t>
    </r>
    <r>
      <rPr>
        <sz val="10"/>
        <rFont val="Arial Unicode MS"/>
        <family val="2"/>
        <charset val="1"/>
      </rPr>
      <t xml:space="preserve">名称（商业、工业、居民、特种等）、小类编码</t>
    </r>
    <r>
      <rPr>
        <sz val="10"/>
        <rFont val="Arial"/>
        <family val="0"/>
        <charset val="1"/>
      </rPr>
      <t xml:space="preserve">/</t>
    </r>
    <r>
      <rPr>
        <sz val="10"/>
        <rFont val="Arial Unicode MS"/>
        <family val="2"/>
        <charset val="1"/>
      </rPr>
      <t xml:space="preserve">名称、所属大类、启用</t>
    </r>
    <r>
      <rPr>
        <sz val="10"/>
        <rFont val="Arial"/>
        <family val="0"/>
        <charset val="1"/>
      </rPr>
      <t xml:space="preserve">/</t>
    </r>
    <r>
      <rPr>
        <sz val="10"/>
        <rFont val="Arial Unicode MS"/>
        <family val="2"/>
        <charset val="1"/>
      </rPr>
      <t xml:space="preserve">停用标志、备注。规则：行业分类挂接客户档案，用于用水性质统计报表与特种行业水价（如洗车、洗浴等特种用水执行特种水价）；被档案引用的分类禁止删除；特种行业类别应可被水价方案引用。</t>
    </r>
  </si>
  <si>
    <t xml:space="preserve">大类编码；大类名称；小类编码；小类名称；启停用标志</t>
  </si>
  <si>
    <r>
      <rPr>
        <sz val="10"/>
        <rFont val="Arial Unicode MS"/>
        <family val="2"/>
        <charset val="1"/>
      </rPr>
      <t xml:space="preserve">行业分类列表（大类</t>
    </r>
    <r>
      <rPr>
        <sz val="10"/>
        <rFont val="Arial"/>
        <family val="0"/>
        <charset val="1"/>
      </rPr>
      <t xml:space="preserve">/</t>
    </r>
    <r>
      <rPr>
        <sz val="10"/>
        <rFont val="Arial Unicode MS"/>
        <family val="2"/>
        <charset val="1"/>
      </rPr>
      <t xml:space="preserve">小类树，含挂接户数）；操作结果提示</t>
    </r>
  </si>
  <si>
    <r>
      <rPr>
        <sz val="10"/>
        <rFont val="Arial Unicode MS"/>
        <family val="2"/>
        <charset val="1"/>
      </rPr>
      <t xml:space="preserve">可建立『商业</t>
    </r>
    <r>
      <rPr>
        <sz val="10"/>
        <rFont val="Arial"/>
        <family val="0"/>
        <charset val="1"/>
      </rPr>
      <t xml:space="preserve">-</t>
    </r>
    <r>
      <rPr>
        <sz val="10"/>
        <rFont val="Arial Unicode MS"/>
        <family val="2"/>
        <charset val="1"/>
      </rPr>
      <t xml:space="preserve">餐饮』两级分类并在档案立户时级联选择
按行业分类出具用水量统计时口径与档案挂接一致</t>
    </r>
  </si>
  <si>
    <r>
      <rPr>
        <sz val="10"/>
        <rFont val="Arial"/>
        <family val="0"/>
        <charset val="1"/>
      </rPr>
      <t xml:space="preserve">SRS</t>
    </r>
    <r>
      <rPr>
        <sz val="10"/>
        <rFont val="Arial Unicode MS"/>
        <family val="2"/>
        <charset val="1"/>
      </rPr>
      <t xml:space="preserve">正文未明确两级结构的字段与水价联动，『行类大小分类』表述含糊，需与业务确认特种行业是否直接驱动水价。</t>
    </r>
  </si>
  <si>
    <t xml:space="preserve">FR-1.5</t>
  </si>
  <si>
    <t xml:space="preserve">优惠类型</t>
  </si>
  <si>
    <t xml:space="preserve">4.1.5</t>
  </si>
  <si>
    <r>
      <rPr>
        <sz val="10"/>
        <rFont val="Arial Unicode MS"/>
        <family val="2"/>
        <charset val="1"/>
      </rPr>
      <t xml:space="preserve">维护水费优惠政策字典。字段应含：优惠编码、优惠名称（如低保户减免、军烈属优惠、特困减免）、优惠方式（比例折扣</t>
    </r>
    <r>
      <rPr>
        <sz val="10"/>
        <rFont val="Arial"/>
        <family val="0"/>
        <charset val="1"/>
      </rPr>
      <t xml:space="preserve">/</t>
    </r>
    <r>
      <rPr>
        <sz val="10"/>
        <rFont val="Arial Unicode MS"/>
        <family val="2"/>
        <charset val="1"/>
      </rPr>
      <t xml:space="preserve">每期定额金额减免</t>
    </r>
    <r>
      <rPr>
        <sz val="10"/>
        <rFont val="Arial"/>
        <family val="0"/>
        <charset val="1"/>
      </rPr>
      <t xml:space="preserve">/</t>
    </r>
    <r>
      <rPr>
        <sz val="10"/>
        <rFont val="Arial Unicode MS"/>
        <family val="2"/>
        <charset val="1"/>
      </rPr>
      <t xml:space="preserve">每期定量水量减免）、优惠值、适用收费类型（水费</t>
    </r>
    <r>
      <rPr>
        <sz val="10"/>
        <rFont val="Arial"/>
        <family val="0"/>
        <charset val="1"/>
      </rPr>
      <t xml:space="preserve">/</t>
    </r>
    <r>
      <rPr>
        <sz val="10"/>
        <rFont val="Arial Unicode MS"/>
        <family val="2"/>
        <charset val="1"/>
      </rPr>
      <t xml:space="preserve">污水费）、适用用户分类、生效日期、失效日期、启用</t>
    </r>
    <r>
      <rPr>
        <sz val="10"/>
        <rFont val="Arial"/>
        <family val="0"/>
        <charset val="1"/>
      </rPr>
      <t xml:space="preserve">/</t>
    </r>
    <r>
      <rPr>
        <sz val="10"/>
        <rFont val="Arial Unicode MS"/>
        <family val="2"/>
        <charset val="1"/>
      </rPr>
      <t xml:space="preserve">停用标志、审批依据备注。规则：优惠类型在档案管理的水价信息处挂接到具体用户；算费开账时按优惠方式参与账单金额计算（先算原价再按优惠冲减，账单需保留优惠前后金额明细）；被档案引用的优惠禁止删除；过期优惠自动停止参与算费。</t>
    </r>
  </si>
  <si>
    <t xml:space="preserve">优惠编码；优惠名称；优惠方式；优惠值；适用收费类型；适用用户分类；生效日期；失效日期；启停用标志</t>
  </si>
  <si>
    <t xml:space="preserve">优惠类型列表（含挂接户数）；操作结果提示</t>
  </si>
  <si>
    <r>
      <rPr>
        <sz val="10"/>
        <rFont val="Arial Unicode MS"/>
        <family val="2"/>
        <charset val="1"/>
      </rPr>
      <t xml:space="preserve">挂接比例折扣优惠的用户下期账单金额</t>
    </r>
    <r>
      <rPr>
        <sz val="10"/>
        <rFont val="Arial"/>
        <family val="0"/>
        <charset val="1"/>
      </rPr>
      <t xml:space="preserve">=</t>
    </r>
    <r>
      <rPr>
        <sz val="10"/>
        <rFont val="Arial Unicode MS"/>
        <family val="2"/>
        <charset val="1"/>
      </rPr>
      <t xml:space="preserve">原价</t>
    </r>
    <r>
      <rPr>
        <sz val="10"/>
        <rFont val="Arial"/>
        <family val="0"/>
        <charset val="1"/>
      </rPr>
      <t xml:space="preserve">×</t>
    </r>
    <r>
      <rPr>
        <sz val="10"/>
        <rFont val="Arial Unicode MS"/>
        <family val="2"/>
        <charset val="1"/>
      </rPr>
      <t xml:space="preserve">折扣，且账单保留优惠明细
优惠到失效日期后的下一账期不再冲减
删除被引用优惠被系统拒绝</t>
    </r>
  </si>
  <si>
    <r>
      <rPr>
        <sz val="10"/>
        <rFont val="Arial"/>
        <family val="0"/>
        <charset val="1"/>
      </rPr>
      <t xml:space="preserve">SRS</t>
    </r>
    <r>
      <rPr>
        <sz val="10"/>
        <rFont val="Arial Unicode MS"/>
        <family val="2"/>
        <charset val="1"/>
      </rPr>
      <t xml:space="preserve">未定义『明细方式』的具体枚举，比例</t>
    </r>
    <r>
      <rPr>
        <sz val="10"/>
        <rFont val="Arial"/>
        <family val="0"/>
        <charset val="1"/>
      </rPr>
      <t xml:space="preserve">/</t>
    </r>
    <r>
      <rPr>
        <sz val="10"/>
        <rFont val="Arial Unicode MS"/>
        <family val="2"/>
        <charset val="1"/>
      </rPr>
      <t xml:space="preserve">定额</t>
    </r>
    <r>
      <rPr>
        <sz val="10"/>
        <rFont val="Arial"/>
        <family val="0"/>
        <charset val="1"/>
      </rPr>
      <t xml:space="preserve">/</t>
    </r>
    <r>
      <rPr>
        <sz val="10"/>
        <rFont val="Arial Unicode MS"/>
        <family val="2"/>
        <charset val="1"/>
      </rPr>
      <t xml:space="preserve">定量三种方式为细化推导；优惠与阶梯水价叠加时的计算顺序</t>
    </r>
    <r>
      <rPr>
        <sz val="10"/>
        <rFont val="Arial"/>
        <family val="0"/>
        <charset val="1"/>
      </rPr>
      <t xml:space="preserve">SRS</t>
    </r>
    <r>
      <rPr>
        <sz val="10"/>
        <rFont val="Arial Unicode MS"/>
        <family val="2"/>
        <charset val="1"/>
      </rPr>
      <t xml:space="preserve">未规定，须补充算费规则文档。</t>
    </r>
  </si>
  <si>
    <t xml:space="preserve">M2</t>
  </si>
  <si>
    <t xml:space="preserve">抄表基础模块</t>
  </si>
  <si>
    <t xml:space="preserve">FR-2.1</t>
  </si>
  <si>
    <t xml:space="preserve">抄表员管理</t>
  </si>
  <si>
    <t xml:space="preserve">4.2.1</t>
  </si>
  <si>
    <r>
      <rPr>
        <sz val="10"/>
        <rFont val="Arial Unicode MS"/>
        <family val="2"/>
        <charset val="1"/>
      </rPr>
      <t xml:space="preserve">维护抄表员基础档案并与表册、掌上机、登录账号关联。字段应含：抄表员编号（唯一，可由系统自动生成）、姓名、所属营业所</t>
    </r>
    <r>
      <rPr>
        <sz val="10"/>
        <rFont val="Arial"/>
        <family val="0"/>
        <charset val="1"/>
      </rPr>
      <t xml:space="preserve">/</t>
    </r>
    <r>
      <rPr>
        <sz val="10"/>
        <rFont val="Arial Unicode MS"/>
        <family val="2"/>
        <charset val="1"/>
      </rPr>
      <t xml:space="preserve">抄表区域、联系电话、在职状态（在职</t>
    </r>
    <r>
      <rPr>
        <sz val="10"/>
        <rFont val="Arial"/>
        <family val="0"/>
        <charset val="1"/>
      </rPr>
      <t xml:space="preserve">/</t>
    </r>
    <r>
      <rPr>
        <sz val="10"/>
        <rFont val="Arial Unicode MS"/>
        <family val="2"/>
        <charset val="1"/>
      </rPr>
      <t xml:space="preserve">离职</t>
    </r>
    <r>
      <rPr>
        <sz val="10"/>
        <rFont val="Arial"/>
        <family val="0"/>
        <charset val="1"/>
      </rPr>
      <t xml:space="preserve">/</t>
    </r>
    <r>
      <rPr>
        <sz val="10"/>
        <rFont val="Arial Unicode MS"/>
        <family val="2"/>
        <charset val="1"/>
      </rPr>
      <t xml:space="preserve">停用）、关联系统登录账号、绑定掌上机设备号、备注。规则：一名抄表员可负责多个表册，一个表册同一时间只归属一名抄表员；有在管表册的抄表员不允许直接删除，须先将表册移交他人；离职</t>
    </r>
    <r>
      <rPr>
        <sz val="10"/>
        <rFont val="Arial"/>
        <family val="0"/>
        <charset val="1"/>
      </rPr>
      <t xml:space="preserve">/</t>
    </r>
    <r>
      <rPr>
        <sz val="10"/>
        <rFont val="Arial Unicode MS"/>
        <family val="2"/>
        <charset val="1"/>
      </rPr>
      <t xml:space="preserve">停用抄表员不再出现在表册分配与抄表任务下发范围内。</t>
    </r>
  </si>
  <si>
    <r>
      <rPr>
        <sz val="10"/>
        <rFont val="Arial Unicode MS"/>
        <family val="2"/>
        <charset val="1"/>
      </rPr>
      <t xml:space="preserve">姓名；所属营业所</t>
    </r>
    <r>
      <rPr>
        <sz val="10"/>
        <rFont val="Arial"/>
        <family val="0"/>
        <charset val="1"/>
      </rPr>
      <t xml:space="preserve">/</t>
    </r>
    <r>
      <rPr>
        <sz val="10"/>
        <rFont val="Arial Unicode MS"/>
        <family val="2"/>
        <charset val="1"/>
      </rPr>
      <t xml:space="preserve">区域；联系电话；关联登录账号；掌上机设备号；在职状态</t>
    </r>
  </si>
  <si>
    <t xml:space="preserve">抄表员列表（含在管表册数）；操作结果提示</t>
  </si>
  <si>
    <r>
      <rPr>
        <sz val="10"/>
        <rFont val="Arial Unicode MS"/>
        <family val="2"/>
        <charset val="1"/>
      </rPr>
      <t xml:space="preserve">新增抄表员后可在表册管理中被选为责任抄表员
删除在管表册</t>
    </r>
    <r>
      <rPr>
        <sz val="10"/>
        <rFont val="Arial"/>
        <family val="0"/>
        <charset val="1"/>
      </rPr>
      <t xml:space="preserve">&gt;0</t>
    </r>
    <r>
      <rPr>
        <sz val="10"/>
        <rFont val="Arial Unicode MS"/>
        <family val="2"/>
        <charset val="1"/>
      </rPr>
      <t xml:space="preserve">的抄表员被系统拒绝
按区域查询结果与档案归属一致</t>
    </r>
  </si>
  <si>
    <r>
      <rPr>
        <sz val="10"/>
        <rFont val="Arial"/>
        <family val="0"/>
        <charset val="1"/>
      </rPr>
      <t xml:space="preserve">SRS</t>
    </r>
    <r>
      <rPr>
        <sz val="10"/>
        <rFont val="Arial Unicode MS"/>
        <family val="2"/>
        <charset val="1"/>
      </rPr>
      <t xml:space="preserve">操作项中的『生成』含义未解释（推断为自动生成抄表员编号或由账号同步生成），需与业务确认；输出栏『展现当面系统』系错别字（当前）。</t>
    </r>
  </si>
  <si>
    <t xml:space="preserve">FR-2.2</t>
  </si>
  <si>
    <t xml:space="preserve">表册管理</t>
  </si>
  <si>
    <t xml:space="preserve">4.2.2</t>
  </si>
  <si>
    <r>
      <rPr>
        <sz val="10"/>
        <rFont val="Arial Unicode MS"/>
        <family val="2"/>
        <charset val="1"/>
      </rPr>
      <t xml:space="preserve">维护表册（按抄表路线组织的用户集合，抄表与批量销账的基本单位）。字段应含：表册编号（唯一）、表册名称、所属区域</t>
    </r>
    <r>
      <rPr>
        <sz val="10"/>
        <rFont val="Arial"/>
        <family val="0"/>
        <charset val="1"/>
      </rPr>
      <t xml:space="preserve">/</t>
    </r>
    <r>
      <rPr>
        <sz val="10"/>
        <rFont val="Arial Unicode MS"/>
        <family val="2"/>
        <charset val="1"/>
      </rPr>
      <t xml:space="preserve">营业所、责任抄表员、抄表周期（引用</t>
    </r>
    <r>
      <rPr>
        <sz val="10"/>
        <rFont val="Arial"/>
        <family val="0"/>
        <charset val="1"/>
      </rPr>
      <t xml:space="preserve">FR-1.3</t>
    </r>
    <r>
      <rPr>
        <sz val="10"/>
        <rFont val="Arial Unicode MS"/>
        <family val="2"/>
        <charset val="1"/>
      </rPr>
      <t xml:space="preserve">）、例抄日、册内户数（系统统计）、表册状态（启用</t>
    </r>
    <r>
      <rPr>
        <sz val="10"/>
        <rFont val="Arial"/>
        <family val="0"/>
        <charset val="1"/>
      </rPr>
      <t xml:space="preserve">/</t>
    </r>
    <r>
      <rPr>
        <sz val="10"/>
        <rFont val="Arial Unicode MS"/>
        <family val="2"/>
        <charset val="1"/>
      </rPr>
      <t xml:space="preserve">停用</t>
    </r>
    <r>
      <rPr>
        <sz val="10"/>
        <rFont val="Arial"/>
        <family val="0"/>
        <charset val="1"/>
      </rPr>
      <t xml:space="preserve">/</t>
    </r>
    <r>
      <rPr>
        <sz val="10"/>
        <rFont val="Arial Unicode MS"/>
        <family val="2"/>
        <charset val="1"/>
      </rPr>
      <t xml:space="preserve">待移交）、备注。规则：抄表周期只能以表册为单位修改（</t>
    </r>
    <r>
      <rPr>
        <sz val="10"/>
        <rFont val="Arial"/>
        <family val="0"/>
        <charset val="1"/>
      </rPr>
      <t xml:space="preserve">3.3</t>
    </r>
    <r>
      <rPr>
        <sz val="10"/>
        <rFont val="Arial Unicode MS"/>
        <family val="2"/>
        <charset val="1"/>
      </rPr>
      <t xml:space="preserve">约束在此落地）；新立户用户必须归入某表册后才能进入抄表计划；用户可在表册间调拨（换册）并保留调拨记录；表册到期时系统按其周期与例抄日自动生成本期抄表计划；批量销账（</t>
    </r>
    <r>
      <rPr>
        <sz val="10"/>
        <rFont val="Arial"/>
        <family val="0"/>
        <charset val="1"/>
      </rPr>
      <t xml:space="preserve">FR-4.2</t>
    </r>
    <r>
      <rPr>
        <sz val="10"/>
        <rFont val="Arial Unicode MS"/>
        <family val="2"/>
        <charset val="1"/>
      </rPr>
      <t xml:space="preserve">）以表册号为查询入口。</t>
    </r>
  </si>
  <si>
    <r>
      <rPr>
        <sz val="10"/>
        <rFont val="Arial Unicode MS"/>
        <family val="2"/>
        <charset val="1"/>
      </rPr>
      <t xml:space="preserve">表册编号；表册名称；所属区域</t>
    </r>
    <r>
      <rPr>
        <sz val="10"/>
        <rFont val="Arial"/>
        <family val="0"/>
        <charset val="1"/>
      </rPr>
      <t xml:space="preserve">/</t>
    </r>
    <r>
      <rPr>
        <sz val="10"/>
        <rFont val="Arial Unicode MS"/>
        <family val="2"/>
        <charset val="1"/>
      </rPr>
      <t xml:space="preserve">营业所；责任抄表员；抄表周期；例抄日；状态</t>
    </r>
  </si>
  <si>
    <t xml:space="preserve">表册列表（含表册户数）；表册明细（册内用户清单）；操作结果提示</t>
  </si>
  <si>
    <t xml:space="preserve">新增表册并归入用户后，列表户数统计与实际归户数一致
修改表册周期后整册用户下期抄表计划日期同步变化，且不存在对单户改周期的入口
删除非空表册被系统拒绝</t>
  </si>
  <si>
    <r>
      <rPr>
        <sz val="10"/>
        <rFont val="Arial"/>
        <family val="0"/>
        <charset val="1"/>
      </rPr>
      <t xml:space="preserve">SRS</t>
    </r>
    <r>
      <rPr>
        <sz val="10"/>
        <rFont val="Arial Unicode MS"/>
        <family val="2"/>
        <charset val="1"/>
      </rPr>
      <t xml:space="preserve">功能描述过于简略（仅一句『表册信息的管理』），未定义表册与档案、抄表计划、批量销账的关联，本细化为核心补充内容。</t>
    </r>
  </si>
  <si>
    <t xml:space="preserve">FR-2.3</t>
  </si>
  <si>
    <t xml:space="preserve">表册顺序调整</t>
  </si>
  <si>
    <t xml:space="preserve">4.2.3</t>
  </si>
  <si>
    <r>
      <rPr>
        <sz val="10"/>
        <rFont val="Arial Unicode MS"/>
        <family val="2"/>
        <charset val="1"/>
      </rPr>
      <t xml:space="preserve">调整表册内各户号的抄表顺序号，使抄表路线与实地行走路线一致。管理对象为表册</t>
    </r>
    <r>
      <rPr>
        <sz val="10"/>
        <rFont val="Arial"/>
        <family val="0"/>
        <charset val="1"/>
      </rPr>
      <t xml:space="preserve">-</t>
    </r>
    <r>
      <rPr>
        <sz val="10"/>
        <rFont val="Arial Unicode MS"/>
        <family val="2"/>
        <charset val="1"/>
      </rPr>
      <t xml:space="preserve">用户关系中的『册内抄表顺序号』字段。规则：顺序号在同一表册内唯一、连续（或允许留空隙由系统重排）；支持单户改号、上移</t>
    </r>
    <r>
      <rPr>
        <sz val="10"/>
        <rFont val="Arial"/>
        <family val="0"/>
        <charset val="1"/>
      </rPr>
      <t xml:space="preserve">/</t>
    </r>
    <r>
      <rPr>
        <sz val="10"/>
        <rFont val="Arial Unicode MS"/>
        <family val="2"/>
        <charset val="1"/>
      </rPr>
      <t xml:space="preserve">下移、拖拽排序、区间批量重排四种方式；调整后手工抄表界面（</t>
    </r>
    <r>
      <rPr>
        <sz val="10"/>
        <rFont val="Arial"/>
        <family val="0"/>
        <charset val="1"/>
      </rPr>
      <t xml:space="preserve">FR-7.1</t>
    </r>
    <r>
      <rPr>
        <sz val="10"/>
        <rFont val="Arial Unicode MS"/>
        <family val="2"/>
        <charset val="1"/>
      </rPr>
      <t xml:space="preserve">）与掌上机下载任务按新顺序展示；新入册用户默认排在册尾；调整操作留痕（操作人、时间、前后顺序）。</t>
    </r>
  </si>
  <si>
    <t xml:space="preserve">表册号；户号；新抄表顺序号（或移动操作）</t>
  </si>
  <si>
    <t xml:space="preserve">调整后的册内用户顺序列表；操作结果提示与变更日志</t>
  </si>
  <si>
    <t xml:space="preserve">调整顺序保存后，手工抄表界面按新顺序逐户展示
同册顺序号冲突时保存被拒绝并明确定位
顺序调整存在可查询的操作日志</t>
  </si>
  <si>
    <r>
      <rPr>
        <sz val="10"/>
        <rFont val="Arial"/>
        <family val="0"/>
        <charset val="1"/>
      </rPr>
      <t xml:space="preserve">SRS</t>
    </r>
    <r>
      <rPr>
        <sz val="10"/>
        <rFont val="Arial Unicode MS"/>
        <family val="2"/>
        <charset val="1"/>
      </rPr>
      <t xml:space="preserve">该节输入、输出均填『无』，属文档缺陷——实际输入应为册内户号与目标顺序号，输出应为调整后的顺序列表；与掌上机已下发任务的同步策略</t>
    </r>
    <r>
      <rPr>
        <sz val="10"/>
        <rFont val="Arial"/>
        <family val="0"/>
        <charset val="1"/>
      </rPr>
      <t xml:space="preserve">SRS</t>
    </r>
    <r>
      <rPr>
        <sz val="10"/>
        <rFont val="Arial Unicode MS"/>
        <family val="2"/>
        <charset val="1"/>
      </rPr>
      <t xml:space="preserve">未提及。</t>
    </r>
  </si>
  <si>
    <t xml:space="preserve">M3</t>
  </si>
  <si>
    <t xml:space="preserve">收费数据基础</t>
  </si>
  <si>
    <t xml:space="preserve">FR-3.1</t>
  </si>
  <si>
    <t xml:space="preserve">收费类型</t>
  </si>
  <si>
    <t xml:space="preserve">4.3.1</t>
  </si>
  <si>
    <r>
      <rPr>
        <sz val="10"/>
        <rFont val="Arial Unicode MS"/>
        <family val="2"/>
        <charset val="1"/>
      </rPr>
      <t xml:space="preserve">维护费用科目字典。字段应含：收费类型编码（唯一）、收费类型名称（如水费、污水处理费、垃圾费、违约金</t>
    </r>
    <r>
      <rPr>
        <sz val="10"/>
        <rFont val="Arial"/>
        <family val="0"/>
        <charset val="1"/>
      </rPr>
      <t xml:space="preserve">/</t>
    </r>
    <r>
      <rPr>
        <sz val="10"/>
        <rFont val="Arial Unicode MS"/>
        <family val="2"/>
        <charset val="1"/>
      </rPr>
      <t xml:space="preserve">滞纳金、工程款、预存款）、是否允许线上渠道缴纳、销账冲抵优先顺序、对应票据类型（引用</t>
    </r>
    <r>
      <rPr>
        <sz val="10"/>
        <rFont val="Arial"/>
        <family val="0"/>
        <charset val="1"/>
      </rPr>
      <t xml:space="preserve">FR-5.1</t>
    </r>
    <r>
      <rPr>
        <sz val="10"/>
        <rFont val="Arial Unicode MS"/>
        <family val="2"/>
        <charset val="1"/>
      </rPr>
      <t xml:space="preserve">）、是否参与滞纳金计算、启用</t>
    </r>
    <r>
      <rPr>
        <sz val="10"/>
        <rFont val="Arial"/>
        <family val="0"/>
        <charset val="1"/>
      </rPr>
      <t xml:space="preserve">/</t>
    </r>
    <r>
      <rPr>
        <sz val="10"/>
        <rFont val="Arial Unicode MS"/>
        <family val="2"/>
        <charset val="1"/>
      </rPr>
      <t xml:space="preserve">停用标志。规则：账单按收费类型分项记账与开票；公众缴费平台配置（</t>
    </r>
    <r>
      <rPr>
        <sz val="10"/>
        <rFont val="Arial"/>
        <family val="0"/>
        <charset val="1"/>
      </rPr>
      <t xml:space="preserve">FR-3.4</t>
    </r>
    <r>
      <rPr>
        <sz val="10"/>
        <rFont val="Arial Unicode MS"/>
        <family val="2"/>
        <charset val="1"/>
      </rPr>
      <t xml:space="preserve">）可按收费类型限制线上可缴项目；销账时按冲抵优先顺序依次核销多项费用；被账单或渠道配置引用的类型禁止删除。</t>
    </r>
  </si>
  <si>
    <t xml:space="preserve">收费类型编码；收费类型名称；是否允许线上缴纳；冲抵优先顺序；对应票据类型；是否参与滞纳金计算；启停用标志</t>
  </si>
  <si>
    <t xml:space="preserve">收费类型列表；操作结果提示</t>
  </si>
  <si>
    <t xml:space="preserve">销账时多项费用按配置的冲抵顺序依次核销
线上禁缴的收费类型在公众缴费平台查询结果中不可缴
删除被引用类型被系统拒绝</t>
  </si>
  <si>
    <r>
      <rPr>
        <sz val="10"/>
        <rFont val="Arial"/>
        <family val="0"/>
        <charset val="1"/>
      </rPr>
      <t xml:space="preserve">SRS</t>
    </r>
    <r>
      <rPr>
        <sz val="10"/>
        <rFont val="Arial Unicode MS"/>
        <family val="2"/>
        <charset val="1"/>
      </rPr>
      <t xml:space="preserve">仅一句描述，冲抵顺序、票据联动、滞纳金参与规则均为细化补充，需业务确认；水费</t>
    </r>
    <r>
      <rPr>
        <sz val="10"/>
        <rFont val="Arial"/>
        <family val="0"/>
        <charset val="1"/>
      </rPr>
      <t xml:space="preserve">/</t>
    </r>
    <r>
      <rPr>
        <sz val="10"/>
        <rFont val="Arial Unicode MS"/>
        <family val="2"/>
        <charset val="1"/>
      </rPr>
      <t xml:space="preserve">污水费拆分记账口径未定义。</t>
    </r>
  </si>
  <si>
    <t xml:space="preserve">FR-3.2</t>
  </si>
  <si>
    <t xml:space="preserve">收费网点</t>
  </si>
  <si>
    <t xml:space="preserve">4.3.2</t>
  </si>
  <si>
    <r>
      <rPr>
        <sz val="10"/>
        <rFont val="Arial Unicode MS"/>
        <family val="2"/>
        <charset val="1"/>
      </rPr>
      <t xml:space="preserve">维护线下收费网点（营业厅）档案。字段应含：网点编码（唯一）、网点名称、所属区域</t>
    </r>
    <r>
      <rPr>
        <sz val="10"/>
        <rFont val="Arial"/>
        <family val="0"/>
        <charset val="1"/>
      </rPr>
      <t xml:space="preserve">/</t>
    </r>
    <r>
      <rPr>
        <sz val="10"/>
        <rFont val="Arial Unicode MS"/>
        <family val="2"/>
        <charset val="1"/>
      </rPr>
      <t xml:space="preserve">分公司、地址、负责人、联系电话、营业时间、支持业务（收费</t>
    </r>
    <r>
      <rPr>
        <sz val="10"/>
        <rFont val="Arial"/>
        <family val="0"/>
        <charset val="1"/>
      </rPr>
      <t xml:space="preserve">/</t>
    </r>
    <r>
      <rPr>
        <sz val="10"/>
        <rFont val="Arial Unicode MS"/>
        <family val="2"/>
        <charset val="1"/>
      </rPr>
      <t xml:space="preserve">开票</t>
    </r>
    <r>
      <rPr>
        <sz val="10"/>
        <rFont val="Arial"/>
        <family val="0"/>
        <charset val="1"/>
      </rPr>
      <t xml:space="preserve">/</t>
    </r>
    <r>
      <rPr>
        <sz val="10"/>
        <rFont val="Arial Unicode MS"/>
        <family val="2"/>
        <charset val="1"/>
      </rPr>
      <t xml:space="preserve">预存</t>
    </r>
    <r>
      <rPr>
        <sz val="10"/>
        <rFont val="Arial"/>
        <family val="0"/>
        <charset val="1"/>
      </rPr>
      <t xml:space="preserve">/</t>
    </r>
    <r>
      <rPr>
        <sz val="10"/>
        <rFont val="Arial Unicode MS"/>
        <family val="2"/>
        <charset val="1"/>
      </rPr>
      <t xml:space="preserve">退费）、启用</t>
    </r>
    <r>
      <rPr>
        <sz val="10"/>
        <rFont val="Arial"/>
        <family val="0"/>
        <charset val="1"/>
      </rPr>
      <t xml:space="preserve">/</t>
    </r>
    <r>
      <rPr>
        <sz val="10"/>
        <rFont val="Arial Unicode MS"/>
        <family val="2"/>
        <charset val="1"/>
      </rPr>
      <t xml:space="preserve">停用标志。规则：柜员收费流水必须归属某网点，作为网点日结、长短款核对与收入统计的口径；网点停用后不再受理新流水但历史流水可查；</t>
    </r>
    <r>
      <rPr>
        <sz val="10"/>
        <rFont val="Arial"/>
        <family val="0"/>
        <charset val="1"/>
      </rPr>
      <t xml:space="preserve">ATM</t>
    </r>
    <r>
      <rPr>
        <sz val="10"/>
        <rFont val="Arial Unicode MS"/>
        <family val="2"/>
        <charset val="1"/>
      </rPr>
      <t xml:space="preserve">收费机（</t>
    </r>
    <r>
      <rPr>
        <sz val="10"/>
        <rFont val="Arial"/>
        <family val="0"/>
        <charset val="1"/>
      </rPr>
      <t xml:space="preserve">FR-3.3</t>
    </r>
    <r>
      <rPr>
        <sz val="10"/>
        <rFont val="Arial Unicode MS"/>
        <family val="2"/>
        <charset val="1"/>
      </rPr>
      <t xml:space="preserve">）挂接在网点之下。</t>
    </r>
  </si>
  <si>
    <t xml:space="preserve">网点编码；网点名称；所属区域；地址；负责人；联系电话；启停用标志</t>
  </si>
  <si>
    <t xml:space="preserve">区域对应收费网点列表；操作结果提示</t>
  </si>
  <si>
    <t xml:space="preserve">柜台收费流水均带网点归属且网点日结汇总与流水明细一致
停用网点不再出现在柜员登录可选网点中</t>
  </si>
  <si>
    <r>
      <rPr>
        <sz val="10"/>
        <rFont val="Arial"/>
        <family val="0"/>
        <charset val="1"/>
      </rPr>
      <t xml:space="preserve">SRS</t>
    </r>
    <r>
      <rPr>
        <sz val="10"/>
        <rFont val="Arial Unicode MS"/>
        <family val="2"/>
        <charset val="1"/>
      </rPr>
      <t xml:space="preserve">未说明网点与柜员、日结的关系，为细化补充。</t>
    </r>
  </si>
  <si>
    <t xml:space="preserve">FR-3.3</t>
  </si>
  <si>
    <r>
      <rPr>
        <sz val="10"/>
        <rFont val="Arial"/>
        <family val="0"/>
        <charset val="1"/>
      </rPr>
      <t xml:space="preserve">Atm</t>
    </r>
    <r>
      <rPr>
        <sz val="10"/>
        <rFont val="Arial Unicode MS"/>
        <family val="2"/>
        <charset val="1"/>
      </rPr>
      <t xml:space="preserve">收费机</t>
    </r>
  </si>
  <si>
    <t xml:space="preserve">4.3.3</t>
  </si>
  <si>
    <r>
      <rPr>
        <sz val="10"/>
        <rFont val="Arial Unicode MS"/>
        <family val="2"/>
        <charset val="1"/>
      </rPr>
      <t xml:space="preserve">维护线下</t>
    </r>
    <r>
      <rPr>
        <sz val="10"/>
        <rFont val="Arial"/>
        <family val="0"/>
        <charset val="1"/>
      </rPr>
      <t xml:space="preserve">ATM</t>
    </r>
    <r>
      <rPr>
        <sz val="10"/>
        <rFont val="Arial Unicode MS"/>
        <family val="2"/>
        <charset val="1"/>
      </rPr>
      <t xml:space="preserve">自助缴费机设备档案。字段应含：设备编号（唯一）、设备名称、所属收费网点</t>
    </r>
    <r>
      <rPr>
        <sz val="10"/>
        <rFont val="Arial"/>
        <family val="0"/>
        <charset val="1"/>
      </rPr>
      <t xml:space="preserve">/</t>
    </r>
    <r>
      <rPr>
        <sz val="10"/>
        <rFont val="Arial Unicode MS"/>
        <family val="2"/>
        <charset val="1"/>
      </rPr>
      <t xml:space="preserve">安装位置、终端标识</t>
    </r>
    <r>
      <rPr>
        <sz val="10"/>
        <rFont val="Arial"/>
        <family val="0"/>
        <charset val="1"/>
      </rPr>
      <t xml:space="preserve">/IP</t>
    </r>
    <r>
      <rPr>
        <sz val="10"/>
        <rFont val="Arial Unicode MS"/>
        <family val="2"/>
        <charset val="1"/>
      </rPr>
      <t xml:space="preserve">、支持缴费方式（现金</t>
    </r>
    <r>
      <rPr>
        <sz val="10"/>
        <rFont val="Arial"/>
        <family val="0"/>
        <charset val="1"/>
      </rPr>
      <t xml:space="preserve">/</t>
    </r>
    <r>
      <rPr>
        <sz val="10"/>
        <rFont val="Arial Unicode MS"/>
        <family val="2"/>
        <charset val="1"/>
      </rPr>
      <t xml:space="preserve">银行卡</t>
    </r>
    <r>
      <rPr>
        <sz val="10"/>
        <rFont val="Arial"/>
        <family val="0"/>
        <charset val="1"/>
      </rPr>
      <t xml:space="preserve">/</t>
    </r>
    <r>
      <rPr>
        <sz val="10"/>
        <rFont val="Arial Unicode MS"/>
        <family val="2"/>
        <charset val="1"/>
      </rPr>
      <t xml:space="preserve">扫码）、是否支持打印票据、设备状态（在线</t>
    </r>
    <r>
      <rPr>
        <sz val="10"/>
        <rFont val="Arial"/>
        <family val="0"/>
        <charset val="1"/>
      </rPr>
      <t xml:space="preserve">/</t>
    </r>
    <r>
      <rPr>
        <sz val="10"/>
        <rFont val="Arial Unicode MS"/>
        <family val="2"/>
        <charset val="1"/>
      </rPr>
      <t xml:space="preserve">离线</t>
    </r>
    <r>
      <rPr>
        <sz val="10"/>
        <rFont val="Arial"/>
        <family val="0"/>
        <charset val="1"/>
      </rPr>
      <t xml:space="preserve">/</t>
    </r>
    <r>
      <rPr>
        <sz val="10"/>
        <rFont val="Arial Unicode MS"/>
        <family val="2"/>
        <charset val="1"/>
      </rPr>
      <t xml:space="preserve">停用</t>
    </r>
    <r>
      <rPr>
        <sz val="10"/>
        <rFont val="Arial"/>
        <family val="0"/>
        <charset val="1"/>
      </rPr>
      <t xml:space="preserve">/</t>
    </r>
    <r>
      <rPr>
        <sz val="10"/>
        <rFont val="Arial Unicode MS"/>
        <family val="2"/>
        <charset val="1"/>
      </rPr>
      <t xml:space="preserve">维修）、投产日期。规则：自助机缴费流水按设备编号归集，参与渠道对账与网点日结；设备停用后终端登录被拒绝；设备状态变化留日志供运维排查。</t>
    </r>
  </si>
  <si>
    <r>
      <rPr>
        <sz val="10"/>
        <rFont val="Arial Unicode MS"/>
        <family val="2"/>
        <charset val="1"/>
      </rPr>
      <t xml:space="preserve">设备编号；设备名称；所属网点</t>
    </r>
    <r>
      <rPr>
        <sz val="10"/>
        <rFont val="Arial"/>
        <family val="0"/>
        <charset val="1"/>
      </rPr>
      <t xml:space="preserve">/</t>
    </r>
    <r>
      <rPr>
        <sz val="10"/>
        <rFont val="Arial Unicode MS"/>
        <family val="2"/>
        <charset val="1"/>
      </rPr>
      <t xml:space="preserve">位置；终端标识</t>
    </r>
    <r>
      <rPr>
        <sz val="10"/>
        <rFont val="Arial"/>
        <family val="0"/>
        <charset val="1"/>
      </rPr>
      <t xml:space="preserve">/IP</t>
    </r>
    <r>
      <rPr>
        <sz val="10"/>
        <rFont val="Arial Unicode MS"/>
        <family val="2"/>
        <charset val="1"/>
      </rPr>
      <t xml:space="preserve">；支持缴费方式；设备状态</t>
    </r>
  </si>
  <si>
    <t xml:space="preserve">自助缴费机列表（含状态）；操作结果提示</t>
  </si>
  <si>
    <t xml:space="preserve">新增设备后该终端可正常登录受理缴费
按设备编号可汇总查询其全部缴费流水
停用设备终端登录被拒绝</t>
  </si>
  <si>
    <r>
      <rPr>
        <sz val="10"/>
        <rFont val="Arial"/>
        <family val="0"/>
        <charset val="1"/>
      </rPr>
      <t xml:space="preserve">SRS</t>
    </r>
    <r>
      <rPr>
        <sz val="10"/>
        <rFont val="Arial Unicode MS"/>
        <family val="2"/>
        <charset val="1"/>
      </rPr>
      <t xml:space="preserve">未涉及自助机与系统的通讯协议、现金钞箱管理与差错处理，属需求缺口。</t>
    </r>
  </si>
  <si>
    <t xml:space="preserve">FR-3.4</t>
  </si>
  <si>
    <t xml:space="preserve">公众缴费平台</t>
  </si>
  <si>
    <t xml:space="preserve">4.3.4</t>
  </si>
  <si>
    <r>
      <rPr>
        <sz val="10"/>
        <rFont val="Arial Unicode MS"/>
        <family val="2"/>
        <charset val="1"/>
      </rPr>
      <t xml:space="preserve">维护微信、支付宝、公众号等线上公众缴费通道（</t>
    </r>
    <r>
      <rPr>
        <sz val="10"/>
        <rFont val="Arial"/>
        <family val="0"/>
        <charset val="1"/>
      </rPr>
      <t xml:space="preserve">pps</t>
    </r>
    <r>
      <rPr>
        <sz val="10"/>
        <rFont val="Arial Unicode MS"/>
        <family val="2"/>
        <charset val="1"/>
      </rPr>
      <t xml:space="preserve">平台）配置。字段应含：通道编码、通道名称（微信支付</t>
    </r>
    <r>
      <rPr>
        <sz val="10"/>
        <rFont val="Arial"/>
        <family val="0"/>
        <charset val="1"/>
      </rPr>
      <t xml:space="preserve">/</t>
    </r>
    <r>
      <rPr>
        <sz val="10"/>
        <rFont val="Arial Unicode MS"/>
        <family val="2"/>
        <charset val="1"/>
      </rPr>
      <t xml:space="preserve">支付宝</t>
    </r>
    <r>
      <rPr>
        <sz val="10"/>
        <rFont val="Arial"/>
        <family val="0"/>
        <charset val="1"/>
      </rPr>
      <t xml:space="preserve">/</t>
    </r>
    <r>
      <rPr>
        <sz val="10"/>
        <rFont val="Arial Unicode MS"/>
        <family val="2"/>
        <charset val="1"/>
      </rPr>
      <t xml:space="preserve">公众号</t>
    </r>
    <r>
      <rPr>
        <sz val="10"/>
        <rFont val="Arial"/>
        <family val="0"/>
        <charset val="1"/>
      </rPr>
      <t xml:space="preserve">/</t>
    </r>
    <r>
      <rPr>
        <sz val="10"/>
        <rFont val="Arial Unicode MS"/>
        <family val="2"/>
        <charset val="1"/>
      </rPr>
      <t xml:space="preserve">小程序）、商户号、</t>
    </r>
    <r>
      <rPr>
        <sz val="10"/>
        <rFont val="Arial"/>
        <family val="0"/>
        <charset val="1"/>
      </rPr>
      <t xml:space="preserve">AppID</t>
    </r>
    <r>
      <rPr>
        <sz val="10"/>
        <rFont val="Arial Unicode MS"/>
        <family val="2"/>
        <charset val="1"/>
      </rPr>
      <t xml:space="preserve">、支付密钥（加密存储）、回调地址、允许缴纳的收费类型集合（引用</t>
    </r>
    <r>
      <rPr>
        <sz val="10"/>
        <rFont val="Arial"/>
        <family val="0"/>
        <charset val="1"/>
      </rPr>
      <t xml:space="preserve">FR-3.1</t>
    </r>
    <r>
      <rPr>
        <sz val="10"/>
        <rFont val="Arial Unicode MS"/>
        <family val="2"/>
        <charset val="1"/>
      </rPr>
      <t xml:space="preserve">）、允许缴费的用户状态集合（引用</t>
    </r>
    <r>
      <rPr>
        <sz val="10"/>
        <rFont val="Arial"/>
        <family val="0"/>
        <charset val="1"/>
      </rPr>
      <t xml:space="preserve">FR-1.1</t>
    </r>
    <r>
      <rPr>
        <sz val="10"/>
        <rFont val="Arial Unicode MS"/>
        <family val="2"/>
        <charset val="1"/>
      </rPr>
      <t xml:space="preserve">）、单笔限额、日累计限额、启用</t>
    </r>
    <r>
      <rPr>
        <sz val="10"/>
        <rFont val="Arial"/>
        <family val="0"/>
        <charset val="1"/>
      </rPr>
      <t xml:space="preserve">/</t>
    </r>
    <r>
      <rPr>
        <sz val="10"/>
        <rFont val="Arial Unicode MS"/>
        <family val="2"/>
        <charset val="1"/>
      </rPr>
      <t xml:space="preserve">停用标志。规则：用户状态不在允许集合内（如已销户）时线上查询</t>
    </r>
    <r>
      <rPr>
        <sz val="10"/>
        <rFont val="Arial"/>
        <family val="0"/>
        <charset val="1"/>
      </rPr>
      <t xml:space="preserve">/</t>
    </r>
    <r>
      <rPr>
        <sz val="10"/>
        <rFont val="Arial Unicode MS"/>
        <family val="2"/>
        <charset val="1"/>
      </rPr>
      <t xml:space="preserve">缴费被拦截；收费类型不在允许集合内的费项不展示或标记不可线上缴；通道停用立即停止受理新支付但已发起订单继续完成回调处理；配置变更留审计日志。</t>
    </r>
  </si>
  <si>
    <r>
      <rPr>
        <sz val="10"/>
        <rFont val="Arial Unicode MS"/>
        <family val="2"/>
        <charset val="1"/>
      </rPr>
      <t xml:space="preserve">通道编码；通道名称；商户号；</t>
    </r>
    <r>
      <rPr>
        <sz val="10"/>
        <rFont val="Arial"/>
        <family val="0"/>
        <charset val="1"/>
      </rPr>
      <t xml:space="preserve">AppID</t>
    </r>
    <r>
      <rPr>
        <sz val="10"/>
        <rFont val="Arial Unicode MS"/>
        <family val="2"/>
        <charset val="1"/>
      </rPr>
      <t xml:space="preserve">；支付密钥；回调地址；允许收费类型集合；允许用户状态集合；单笔</t>
    </r>
    <r>
      <rPr>
        <sz val="10"/>
        <rFont val="Arial"/>
        <family val="0"/>
        <charset val="1"/>
      </rPr>
      <t xml:space="preserve">/</t>
    </r>
    <r>
      <rPr>
        <sz val="10"/>
        <rFont val="Arial Unicode MS"/>
        <family val="2"/>
        <charset val="1"/>
      </rPr>
      <t xml:space="preserve">日累计限额；启停用标志</t>
    </r>
  </si>
  <si>
    <t xml:space="preserve">公众缴费通道列表（含状态与当日交易概览）；操作结果提示</t>
  </si>
  <si>
    <t xml:space="preserve">被限制状态的用户在微信端查询时收到不可缴费提示
被限制的收费类型不出现在线上待缴列表
密钥在数据库中不以明文存储，配置修改有审计记录</t>
  </si>
  <si>
    <r>
      <rPr>
        <sz val="10"/>
        <rFont val="Arial"/>
        <family val="0"/>
        <charset val="1"/>
      </rPr>
      <t xml:space="preserve">SRS</t>
    </r>
    <r>
      <rPr>
        <sz val="10"/>
        <rFont val="Arial Unicode MS"/>
        <family val="2"/>
        <charset val="1"/>
      </rPr>
      <t xml:space="preserve">未要求密钥加密存储与掉单补偿机制，属安全与可靠性需求缺口，本细化已补充；『</t>
    </r>
    <r>
      <rPr>
        <sz val="10"/>
        <rFont val="Arial"/>
        <family val="0"/>
        <charset val="1"/>
      </rPr>
      <t xml:space="preserve">pps</t>
    </r>
    <r>
      <rPr>
        <sz val="10"/>
        <rFont val="Arial Unicode MS"/>
        <family val="2"/>
        <charset val="1"/>
      </rPr>
      <t xml:space="preserve">』缩写</t>
    </r>
    <r>
      <rPr>
        <sz val="10"/>
        <rFont val="Arial"/>
        <family val="0"/>
        <charset val="1"/>
      </rPr>
      <t xml:space="preserve">SRS</t>
    </r>
    <r>
      <rPr>
        <sz val="10"/>
        <rFont val="Arial Unicode MS"/>
        <family val="2"/>
        <charset val="1"/>
      </rPr>
      <t xml:space="preserve">未解释。</t>
    </r>
  </si>
  <si>
    <t xml:space="preserve">M4</t>
  </si>
  <si>
    <t xml:space="preserve">柜台收费业务</t>
  </si>
  <si>
    <t xml:space="preserve">FR-4.1</t>
  </si>
  <si>
    <t xml:space="preserve">单户销账</t>
  </si>
  <si>
    <t xml:space="preserve">4.4.1</t>
  </si>
  <si>
    <r>
      <rPr>
        <sz val="10"/>
        <rFont val="Arial Unicode MS"/>
        <family val="2"/>
        <charset val="1"/>
      </rPr>
      <t xml:space="preserve">柜台按单户受理水费缴纳。柜员按户号（精确）或户名</t>
    </r>
    <r>
      <rPr>
        <sz val="10"/>
        <rFont val="Arial"/>
        <family val="0"/>
        <charset val="1"/>
      </rPr>
      <t xml:space="preserve">/</t>
    </r>
    <r>
      <rPr>
        <sz val="10"/>
        <rFont val="Arial Unicode MS"/>
        <family val="2"/>
        <charset val="1"/>
      </rPr>
      <t xml:space="preserve">地址（模糊）查询用户欠费账单列表，列表展示每期账单的账期、用水量、水费、污水费、其他费项、滞纳金（按销账当日重算）、合计与用户预存余额。柜员勾选一条或多条账单（须按账期先后连续勾选，不允许跳期销账），录入实收金额与付款方式（现金</t>
    </r>
    <r>
      <rPr>
        <sz val="10"/>
        <rFont val="Arial"/>
        <family val="0"/>
        <charset val="1"/>
      </rPr>
      <t xml:space="preserve">/</t>
    </r>
    <r>
      <rPr>
        <sz val="10"/>
        <rFont val="Arial Unicode MS"/>
        <family val="2"/>
        <charset val="1"/>
      </rPr>
      <t xml:space="preserve">扫码</t>
    </r>
    <r>
      <rPr>
        <sz val="10"/>
        <rFont val="Arial"/>
        <family val="0"/>
        <charset val="1"/>
      </rPr>
      <t xml:space="preserve">/</t>
    </r>
    <r>
      <rPr>
        <sz val="10"/>
        <rFont val="Arial Unicode MS"/>
        <family val="2"/>
        <charset val="1"/>
      </rPr>
      <t xml:space="preserve">银行卡），系统按收费类型冲抵顺序核销，支持预存余额抵扣，生成收费流水（含网点、柜员、付款方式），销账后账单状态置为已缴并可打印票据。冲正</t>
    </r>
    <r>
      <rPr>
        <sz val="10"/>
        <rFont val="Arial"/>
        <family val="0"/>
        <charset val="1"/>
      </rPr>
      <t xml:space="preserve">/</t>
    </r>
    <r>
      <rPr>
        <sz val="10"/>
        <rFont val="Arial Unicode MS"/>
        <family val="2"/>
        <charset val="1"/>
      </rPr>
      <t xml:space="preserve">作废当日流水需授权并生成红冲记录。</t>
    </r>
  </si>
  <si>
    <t xml:space="preserve">户号；户名；地址（模糊查询）；勾选账单集合；实收金额；付款方式；是否使用预存抵扣</t>
  </si>
  <si>
    <t xml:space="preserve">用户欠费账单列表；销账结果与收费流水号；票据打印数据</t>
  </si>
  <si>
    <r>
      <rPr>
        <sz val="10"/>
        <rFont val="Arial Unicode MS"/>
        <family val="2"/>
        <charset val="1"/>
      </rPr>
      <t xml:space="preserve">勾选多期账单销账后各账单状态均为已缴且流水金额</t>
    </r>
    <r>
      <rPr>
        <sz val="10"/>
        <rFont val="Arial"/>
        <family val="0"/>
        <charset val="1"/>
      </rPr>
      <t xml:space="preserve">=</t>
    </r>
    <r>
      <rPr>
        <sz val="10"/>
        <rFont val="Arial Unicode MS"/>
        <family val="2"/>
        <charset val="1"/>
      </rPr>
      <t xml:space="preserve">各期应收之和
滞纳金按销账当日计算，与账单生成日不同则金额随之更新
跳期销账被系统阻止
冲正后账单恢复欠费状态且存在对应红字流水</t>
    </r>
  </si>
  <si>
    <r>
      <rPr>
        <sz val="10"/>
        <rFont val="Arial"/>
        <family val="0"/>
        <charset val="1"/>
      </rPr>
      <t xml:space="preserve">SRS</t>
    </r>
    <r>
      <rPr>
        <sz val="10"/>
        <rFont val="Arial Unicode MS"/>
        <family val="2"/>
        <charset val="1"/>
      </rPr>
      <t xml:space="preserve">仅描述到『展示用户欠费信息列表』，销账动作本身的规则（冲抵顺序、跳期控制、冲正）完全未写，本细化为主要补充；滞纳金计算规则（起算日、费率）全文档未定义，是重要需求缺口。</t>
    </r>
  </si>
  <si>
    <t xml:space="preserve">FR-4.2</t>
  </si>
  <si>
    <t xml:space="preserve">批量销账</t>
  </si>
  <si>
    <t xml:space="preserve">中高</t>
  </si>
  <si>
    <t xml:space="preserve">4.4.2</t>
  </si>
  <si>
    <r>
      <rPr>
        <sz val="10"/>
        <rFont val="Arial Unicode MS"/>
        <family val="2"/>
        <charset val="1"/>
      </rPr>
      <t xml:space="preserve">面向单位代扣、整册托收等场景，按表册号（也应支持单位编号</t>
    </r>
    <r>
      <rPr>
        <sz val="10"/>
        <rFont val="Arial"/>
        <family val="0"/>
        <charset val="1"/>
      </rPr>
      <t xml:space="preserve">/</t>
    </r>
    <r>
      <rPr>
        <sz val="10"/>
        <rFont val="Arial Unicode MS"/>
        <family val="2"/>
        <charset val="1"/>
      </rPr>
      <t xml:space="preserve">文件导入）批量查询多户欠费并一次性销账。柜员输入表册号，系统列出册内全部欠费户及各户欠费合计，支持全选</t>
    </r>
    <r>
      <rPr>
        <sz val="10"/>
        <rFont val="Arial"/>
        <family val="0"/>
        <charset val="1"/>
      </rPr>
      <t xml:space="preserve">/</t>
    </r>
    <r>
      <rPr>
        <sz val="10"/>
        <rFont val="Arial Unicode MS"/>
        <family val="2"/>
        <charset val="1"/>
      </rPr>
      <t xml:space="preserve">反选</t>
    </r>
    <r>
      <rPr>
        <sz val="10"/>
        <rFont val="Arial"/>
        <family val="0"/>
        <charset val="1"/>
      </rPr>
      <t xml:space="preserve">/</t>
    </r>
    <r>
      <rPr>
        <sz val="10"/>
        <rFont val="Arial Unicode MS"/>
        <family val="2"/>
        <charset val="1"/>
      </rPr>
      <t xml:space="preserve">按条件过滤（欠费期数、金额区间），确认批量应收总额后一次收款，系统逐户逐单执行销账，生成一张批量收费汇总流水与逐户明细流水。逐户处理相互独立：单户失败（如该户账单已被其他渠道缴纳）不影响其他户，失败户列入错误清单并给出原因，成功户正常销账。</t>
    </r>
  </si>
  <si>
    <r>
      <rPr>
        <sz val="10"/>
        <rFont val="Arial Unicode MS"/>
        <family val="2"/>
        <charset val="1"/>
      </rPr>
      <t xml:space="preserve">表册号；筛选条件（欠费期数</t>
    </r>
    <r>
      <rPr>
        <sz val="10"/>
        <rFont val="Arial"/>
        <family val="0"/>
        <charset val="1"/>
      </rPr>
      <t xml:space="preserve">/</t>
    </r>
    <r>
      <rPr>
        <sz val="10"/>
        <rFont val="Arial Unicode MS"/>
        <family val="2"/>
        <charset val="1"/>
      </rPr>
      <t xml:space="preserve">金额区间）；勾选用户集合；实收总金额；付款方式</t>
    </r>
  </si>
  <si>
    <r>
      <rPr>
        <sz val="10"/>
        <rFont val="Arial Unicode MS"/>
        <family val="2"/>
        <charset val="1"/>
      </rPr>
      <t xml:space="preserve">册内欠费列表；批量处理结果汇总（成功</t>
    </r>
    <r>
      <rPr>
        <sz val="10"/>
        <rFont val="Arial"/>
        <family val="0"/>
        <charset val="1"/>
      </rPr>
      <t xml:space="preserve">/</t>
    </r>
    <r>
      <rPr>
        <sz val="10"/>
        <rFont val="Arial Unicode MS"/>
        <family val="2"/>
        <charset val="1"/>
      </rPr>
      <t xml:space="preserve">失败户数）；批量汇总流水与逐户明细流水；失败原因清单</t>
    </r>
  </si>
  <si>
    <r>
      <rPr>
        <sz val="10"/>
        <rFont val="Arial Unicode MS"/>
        <family val="2"/>
        <charset val="1"/>
      </rPr>
      <t xml:space="preserve">批量销账后成功户账单全部置为已缴，明细流水之和</t>
    </r>
    <r>
      <rPr>
        <sz val="10"/>
        <rFont val="Arial"/>
        <family val="0"/>
        <charset val="1"/>
      </rPr>
      <t xml:space="preserve">=</t>
    </r>
    <r>
      <rPr>
        <sz val="10"/>
        <rFont val="Arial Unicode MS"/>
        <family val="2"/>
        <charset val="1"/>
      </rPr>
      <t xml:space="preserve">汇总流水金额
单户失败不影响其他户，失败原因可查询导出
同一批次重复提交不产生重复销账（幂等）</t>
    </r>
  </si>
  <si>
    <r>
      <rPr>
        <sz val="10"/>
        <rFont val="Arial"/>
        <family val="0"/>
        <charset val="1"/>
      </rPr>
      <t xml:space="preserve">SRS</t>
    </r>
    <r>
      <rPr>
        <sz val="10"/>
        <rFont val="Arial Unicode MS"/>
        <family val="2"/>
        <charset val="1"/>
      </rPr>
      <t xml:space="preserve">仅以表册号为输入，未覆盖单位代扣名单导入场景；批量部分成功的事务边界与续做机制</t>
    </r>
    <r>
      <rPr>
        <sz val="10"/>
        <rFont val="Arial"/>
        <family val="0"/>
        <charset val="1"/>
      </rPr>
      <t xml:space="preserve">SRS</t>
    </r>
    <r>
      <rPr>
        <sz val="10"/>
        <rFont val="Arial Unicode MS"/>
        <family val="2"/>
        <charset val="1"/>
      </rPr>
      <t xml:space="preserve">未定义，本细化补充，需与财务确认口径。</t>
    </r>
  </si>
  <si>
    <t xml:space="preserve">FR-4.3</t>
  </si>
  <si>
    <t xml:space="preserve">预收费</t>
  </si>
  <si>
    <t xml:space="preserve">4.4.3</t>
  </si>
  <si>
    <r>
      <rPr>
        <sz val="10"/>
        <rFont val="Arial Unicode MS"/>
        <family val="2"/>
        <charset val="1"/>
      </rPr>
      <t xml:space="preserve">管理用户预存账户：预存缴费（充值）与取款（退还余额）。按户号</t>
    </r>
    <r>
      <rPr>
        <sz val="10"/>
        <rFont val="Arial"/>
        <family val="0"/>
        <charset val="1"/>
      </rPr>
      <t xml:space="preserve">/</t>
    </r>
    <r>
      <rPr>
        <sz val="10"/>
        <rFont val="Arial Unicode MS"/>
        <family val="2"/>
        <charset val="1"/>
      </rPr>
      <t xml:space="preserve">户名</t>
    </r>
    <r>
      <rPr>
        <sz val="10"/>
        <rFont val="Arial"/>
        <family val="0"/>
        <charset val="1"/>
      </rPr>
      <t xml:space="preserve">/</t>
    </r>
    <r>
      <rPr>
        <sz val="10"/>
        <rFont val="Arial Unicode MS"/>
        <family val="2"/>
        <charset val="1"/>
      </rPr>
      <t xml:space="preserve">地址查询用户，展示预存账户当前余额与预存流水（存入</t>
    </r>
    <r>
      <rPr>
        <sz val="10"/>
        <rFont val="Arial"/>
        <family val="0"/>
        <charset val="1"/>
      </rPr>
      <t xml:space="preserve">/</t>
    </r>
    <r>
      <rPr>
        <sz val="10"/>
        <rFont val="Arial Unicode MS"/>
        <family val="2"/>
        <charset val="1"/>
      </rPr>
      <t xml:space="preserve">开账自动抵扣</t>
    </r>
    <r>
      <rPr>
        <sz val="10"/>
        <rFont val="Arial"/>
        <family val="0"/>
        <charset val="1"/>
      </rPr>
      <t xml:space="preserve">/</t>
    </r>
    <r>
      <rPr>
        <sz val="10"/>
        <rFont val="Arial Unicode MS"/>
        <family val="2"/>
        <charset val="1"/>
      </rPr>
      <t xml:space="preserve">柜台抵扣</t>
    </r>
    <r>
      <rPr>
        <sz val="10"/>
        <rFont val="Arial"/>
        <family val="0"/>
        <charset val="1"/>
      </rPr>
      <t xml:space="preserve">/</t>
    </r>
    <r>
      <rPr>
        <sz val="10"/>
        <rFont val="Arial Unicode MS"/>
        <family val="2"/>
        <charset val="1"/>
      </rPr>
      <t xml:space="preserve">取款）。预存充值：录入充值金额与付款方式，系统增加余额并生成预存流水与收据。取款：校验可退余额，超过阈值或销户退款需主管授权，生成退款流水。规则：开账后是否自动用预存余额抵扣新账单由系统参数或单户标志控制；预存余额不足抵扣时账单余额挂欠费；预存流水与收费流水统一纳入网点日结与财务对账。</t>
    </r>
  </si>
  <si>
    <r>
      <rPr>
        <sz val="10"/>
        <rFont val="Arial Unicode MS"/>
        <family val="2"/>
        <charset val="1"/>
      </rPr>
      <t xml:space="preserve">户号；户名；地址；业务类型（充值</t>
    </r>
    <r>
      <rPr>
        <sz val="10"/>
        <rFont val="Arial"/>
        <family val="0"/>
        <charset val="1"/>
      </rPr>
      <t xml:space="preserve">/</t>
    </r>
    <r>
      <rPr>
        <sz val="10"/>
        <rFont val="Arial Unicode MS"/>
        <family val="2"/>
        <charset val="1"/>
      </rPr>
      <t xml:space="preserve">取款）；金额；付款方式；授权人</t>
    </r>
  </si>
  <si>
    <r>
      <rPr>
        <sz val="10"/>
        <rFont val="Arial Unicode MS"/>
        <family val="2"/>
        <charset val="1"/>
      </rPr>
      <t xml:space="preserve">预收户账户余额与缴费信息；预存</t>
    </r>
    <r>
      <rPr>
        <sz val="10"/>
        <rFont val="Arial"/>
        <family val="0"/>
        <charset val="1"/>
      </rPr>
      <t xml:space="preserve">/</t>
    </r>
    <r>
      <rPr>
        <sz val="10"/>
        <rFont val="Arial Unicode MS"/>
        <family val="2"/>
        <charset val="1"/>
      </rPr>
      <t xml:space="preserve">退款流水；预存收据打印数据</t>
    </r>
  </si>
  <si>
    <r>
      <rPr>
        <sz val="10"/>
        <rFont val="Arial Unicode MS"/>
        <family val="2"/>
        <charset val="1"/>
      </rPr>
      <t xml:space="preserve">充值后余额</t>
    </r>
    <r>
      <rPr>
        <sz val="10"/>
        <rFont val="Arial"/>
        <family val="0"/>
        <charset val="1"/>
      </rPr>
      <t xml:space="preserve">=</t>
    </r>
    <r>
      <rPr>
        <sz val="10"/>
        <rFont val="Arial Unicode MS"/>
        <family val="2"/>
        <charset val="1"/>
      </rPr>
      <t xml:space="preserve">原余额</t>
    </r>
    <r>
      <rPr>
        <sz val="10"/>
        <rFont val="Arial"/>
        <family val="0"/>
        <charset val="1"/>
      </rPr>
      <t xml:space="preserve">+</t>
    </r>
    <r>
      <rPr>
        <sz val="10"/>
        <rFont val="Arial Unicode MS"/>
        <family val="2"/>
        <charset val="1"/>
      </rPr>
      <t xml:space="preserve">充值金额，且流水可查
取款超余额被拒绝，取款需授权记录
开账自动抵扣后账单已缴金额与预存扣减金额一致</t>
    </r>
  </si>
  <si>
    <r>
      <rPr>
        <sz val="10"/>
        <rFont val="Arial"/>
        <family val="0"/>
        <charset val="1"/>
      </rPr>
      <t xml:space="preserve">SRS</t>
    </r>
    <r>
      <rPr>
        <sz val="10"/>
        <rFont val="Arial Unicode MS"/>
        <family val="2"/>
        <charset val="1"/>
      </rPr>
      <t xml:space="preserve">『功能等同与单户销账』表述含糊（错别字：与→于），预存与销账实为两类账务动作；自动抵扣策略、退款审批阈值</t>
    </r>
    <r>
      <rPr>
        <sz val="10"/>
        <rFont val="Arial"/>
        <family val="0"/>
        <charset val="1"/>
      </rPr>
      <t xml:space="preserve">SRS</t>
    </r>
    <r>
      <rPr>
        <sz val="10"/>
        <rFont val="Arial Unicode MS"/>
        <family val="2"/>
        <charset val="1"/>
      </rPr>
      <t xml:space="preserve">均未定义，需业务确认。</t>
    </r>
  </si>
  <si>
    <t xml:space="preserve">M5</t>
  </si>
  <si>
    <t xml:space="preserve">票据基础信息</t>
  </si>
  <si>
    <t xml:space="preserve">FR-5.1</t>
  </si>
  <si>
    <t xml:space="preserve">票据类型</t>
  </si>
  <si>
    <t xml:space="preserve">4.5.1</t>
  </si>
  <si>
    <r>
      <rPr>
        <sz val="10"/>
        <rFont val="Arial Unicode MS"/>
        <family val="2"/>
        <charset val="1"/>
      </rPr>
      <t xml:space="preserve">维护开票类型字典。字段应含：票据类型编码（唯一）、票据类型名称（普通发票、增值税发票、污水费发票、水费收据、预存收据等，对应</t>
    </r>
    <r>
      <rPr>
        <sz val="10"/>
        <rFont val="Arial"/>
        <family val="0"/>
        <charset val="1"/>
      </rPr>
      <t xml:space="preserve">3.2</t>
    </r>
    <r>
      <rPr>
        <sz val="10"/>
        <rFont val="Arial Unicode MS"/>
        <family val="2"/>
        <charset val="1"/>
      </rPr>
      <t xml:space="preserve">『打印普通发票、增值税发票、污水费发票及其他各种水费结算凭证』）、票据介质（纸质</t>
    </r>
    <r>
      <rPr>
        <sz val="10"/>
        <rFont val="Arial"/>
        <family val="0"/>
        <charset val="1"/>
      </rPr>
      <t xml:space="preserve">/</t>
    </r>
    <r>
      <rPr>
        <sz val="10"/>
        <rFont val="Arial Unicode MS"/>
        <family val="2"/>
        <charset val="1"/>
      </rPr>
      <t xml:space="preserve">电子）、税率、税收分类编码、是否需要纳税人信息、启用</t>
    </r>
    <r>
      <rPr>
        <sz val="10"/>
        <rFont val="Arial"/>
        <family val="0"/>
        <charset val="1"/>
      </rPr>
      <t xml:space="preserve">/</t>
    </r>
    <r>
      <rPr>
        <sz val="10"/>
        <rFont val="Arial Unicode MS"/>
        <family val="2"/>
        <charset val="1"/>
      </rPr>
      <t xml:space="preserve">停用标志。规则：收费类型（</t>
    </r>
    <r>
      <rPr>
        <sz val="10"/>
        <rFont val="Arial"/>
        <family val="0"/>
        <charset val="1"/>
      </rPr>
      <t xml:space="preserve">FR-3.1</t>
    </r>
    <r>
      <rPr>
        <sz val="10"/>
        <rFont val="Arial Unicode MS"/>
        <family val="2"/>
        <charset val="1"/>
      </rPr>
      <t xml:space="preserve">）与票据类型建立映射，销账后按映射确定默认开票类型；票据类型下可配置多个票据格式（</t>
    </r>
    <r>
      <rPr>
        <sz val="10"/>
        <rFont val="Arial"/>
        <family val="0"/>
        <charset val="1"/>
      </rPr>
      <t xml:space="preserve">FR-5.2</t>
    </r>
    <r>
      <rPr>
        <sz val="10"/>
        <rFont val="Arial Unicode MS"/>
        <family val="2"/>
        <charset val="1"/>
      </rPr>
      <t xml:space="preserve">）；被票据格式或开票记录引用的类型禁止删除。</t>
    </r>
  </si>
  <si>
    <t xml:space="preserve">票据类型编码；票据类型名称；票据介质；税率；税收分类编码；启停用标志</t>
  </si>
  <si>
    <t xml:space="preserve">票据类型列表；操作结果提示</t>
  </si>
  <si>
    <t xml:space="preserve">新增票据类型后可在票据格式配置中被引用
销账开票时可按收费类型映射带出默认票据类型
删除被引用类型被拒绝</t>
  </si>
  <si>
    <r>
      <rPr>
        <sz val="10"/>
        <rFont val="Arial"/>
        <family val="0"/>
        <charset val="1"/>
      </rPr>
      <t xml:space="preserve">SRS</t>
    </r>
    <r>
      <rPr>
        <sz val="10"/>
        <rFont val="Arial Unicode MS"/>
        <family val="2"/>
        <charset val="1"/>
      </rPr>
      <t xml:space="preserve">未涉及增值税发票与税控</t>
    </r>
    <r>
      <rPr>
        <sz val="10"/>
        <rFont val="Arial"/>
        <family val="0"/>
        <charset val="1"/>
      </rPr>
      <t xml:space="preserve">/</t>
    </r>
    <r>
      <rPr>
        <sz val="10"/>
        <rFont val="Arial Unicode MS"/>
        <family val="2"/>
        <charset val="1"/>
      </rPr>
      <t xml:space="preserve">电子发票平台的对接方式、票号管理（领用、核销、作废），属需求缺口。</t>
    </r>
  </si>
  <si>
    <t xml:space="preserve">FR-5.2</t>
  </si>
  <si>
    <t xml:space="preserve">票据格式</t>
  </si>
  <si>
    <t xml:space="preserve">4.5.2</t>
  </si>
  <si>
    <r>
      <rPr>
        <sz val="10"/>
        <rFont val="Arial Unicode MS"/>
        <family val="2"/>
        <charset val="1"/>
      </rPr>
      <t xml:space="preserve">按票据类型配置打印格式模板。字段应含：格式编码、格式名称、所属票据类型（引用</t>
    </r>
    <r>
      <rPr>
        <sz val="10"/>
        <rFont val="Arial"/>
        <family val="0"/>
        <charset val="1"/>
      </rPr>
      <t xml:space="preserve">FR-5.1</t>
    </r>
    <r>
      <rPr>
        <sz val="10"/>
        <rFont val="Arial Unicode MS"/>
        <family val="2"/>
        <charset val="1"/>
      </rPr>
      <t xml:space="preserve">）、纸张规格（宽</t>
    </r>
    <r>
      <rPr>
        <sz val="10"/>
        <rFont val="Arial"/>
        <family val="0"/>
        <charset val="1"/>
      </rPr>
      <t xml:space="preserve">×</t>
    </r>
    <r>
      <rPr>
        <sz val="10"/>
        <rFont val="Arial Unicode MS"/>
        <family val="2"/>
        <charset val="1"/>
      </rPr>
      <t xml:space="preserve">高</t>
    </r>
    <r>
      <rPr>
        <sz val="10"/>
        <rFont val="Arial"/>
        <family val="0"/>
        <charset val="1"/>
      </rPr>
      <t xml:space="preserve">mm</t>
    </r>
    <r>
      <rPr>
        <sz val="10"/>
        <rFont val="Arial Unicode MS"/>
        <family val="2"/>
        <charset val="1"/>
      </rPr>
      <t xml:space="preserve">）、打印方式（针式套打</t>
    </r>
    <r>
      <rPr>
        <sz val="10"/>
        <rFont val="Arial"/>
        <family val="0"/>
        <charset val="1"/>
      </rPr>
      <t xml:space="preserve">/</t>
    </r>
    <r>
      <rPr>
        <sz val="10"/>
        <rFont val="Arial Unicode MS"/>
        <family val="2"/>
        <charset val="1"/>
      </rPr>
      <t xml:space="preserve">激光</t>
    </r>
    <r>
      <rPr>
        <sz val="10"/>
        <rFont val="Arial"/>
        <family val="0"/>
        <charset val="1"/>
      </rPr>
      <t xml:space="preserve">/</t>
    </r>
    <r>
      <rPr>
        <sz val="10"/>
        <rFont val="Arial Unicode MS"/>
        <family val="2"/>
        <charset val="1"/>
      </rPr>
      <t xml:space="preserve">热敏）、打印要素及坐标（户号、户名、地址、账期、水量、各费项金额、金额大写、合计、收费员、收费日期、二维码等要素的</t>
    </r>
    <r>
      <rPr>
        <sz val="10"/>
        <rFont val="Arial"/>
        <family val="0"/>
        <charset val="1"/>
      </rPr>
      <t xml:space="preserve">X/Y</t>
    </r>
    <r>
      <rPr>
        <sz val="10"/>
        <rFont val="Arial Unicode MS"/>
        <family val="2"/>
        <charset val="1"/>
      </rPr>
      <t xml:space="preserve">坐标与字体）、打印份数、套打偏移量、启用</t>
    </r>
    <r>
      <rPr>
        <sz val="10"/>
        <rFont val="Arial"/>
        <family val="0"/>
        <charset val="1"/>
      </rPr>
      <t xml:space="preserve">/</t>
    </r>
    <r>
      <rPr>
        <sz val="10"/>
        <rFont val="Arial Unicode MS"/>
        <family val="2"/>
        <charset val="1"/>
      </rPr>
      <t xml:space="preserve">停用标志、版本号。规则：一个票据类型可维护多个格式版本，同一时间仅一个启用（新版启用旧版自动停用）；柜台打票（</t>
    </r>
    <r>
      <rPr>
        <sz val="10"/>
        <rFont val="Arial"/>
        <family val="0"/>
        <charset val="1"/>
      </rPr>
      <t xml:space="preserve">FR-4.1/4.3</t>
    </r>
    <r>
      <rPr>
        <sz val="10"/>
        <rFont val="Arial Unicode MS"/>
        <family val="2"/>
        <charset val="1"/>
      </rPr>
      <t xml:space="preserve">联动）按票据类型取当前启用格式渲染；格式支持打印预览与测试打印。</t>
    </r>
  </si>
  <si>
    <r>
      <rPr>
        <sz val="10"/>
        <rFont val="Arial Unicode MS"/>
        <family val="2"/>
        <charset val="1"/>
      </rPr>
      <t xml:space="preserve">票据类型；格式名称；纸张规格；打印方式；打印要素坐标</t>
    </r>
    <r>
      <rPr>
        <sz val="10"/>
        <rFont val="Arial"/>
        <family val="0"/>
        <charset val="1"/>
      </rPr>
      <t xml:space="preserve">/</t>
    </r>
    <r>
      <rPr>
        <sz val="10"/>
        <rFont val="Arial Unicode MS"/>
        <family val="2"/>
        <charset val="1"/>
      </rPr>
      <t xml:space="preserve">字体集合；打印份数；套打偏移量</t>
    </r>
  </si>
  <si>
    <t xml:space="preserve">票据格式列表（含启用状态与版本）；打印预览效果；操作结果提示</t>
  </si>
  <si>
    <t xml:space="preserve">同一票据类型同一时间有且仅有一个启用格式
柜台实际打票版式与预览一致
启用新格式后旧格式自动停用且历史开票记录仍可按原格式补打</t>
  </si>
  <si>
    <r>
      <rPr>
        <sz val="10"/>
        <rFont val="Arial"/>
        <family val="0"/>
        <charset val="1"/>
      </rPr>
      <t xml:space="preserve">SRS</t>
    </r>
    <r>
      <rPr>
        <sz val="10"/>
        <rFont val="Arial Unicode MS"/>
        <family val="2"/>
        <charset val="1"/>
      </rPr>
      <t xml:space="preserve">操作序列写『打开票据类型，新增修改票据格式』，入口描述与</t>
    </r>
    <r>
      <rPr>
        <sz val="10"/>
        <rFont val="Arial"/>
        <family val="0"/>
        <charset val="1"/>
      </rPr>
      <t xml:space="preserve">4.5.1</t>
    </r>
    <r>
      <rPr>
        <sz val="10"/>
        <rFont val="Arial Unicode MS"/>
        <family val="2"/>
        <charset val="1"/>
      </rPr>
      <t xml:space="preserve">混同；要素级坐标配置为细化补充，</t>
    </r>
    <r>
      <rPr>
        <sz val="10"/>
        <rFont val="Arial"/>
        <family val="0"/>
        <charset val="1"/>
      </rPr>
      <t xml:space="preserve">SRS</t>
    </r>
    <r>
      <rPr>
        <sz val="10"/>
        <rFont val="Arial Unicode MS"/>
        <family val="2"/>
        <charset val="1"/>
      </rPr>
      <t xml:space="preserve">未定义格式配置的粒度。</t>
    </r>
  </si>
  <si>
    <t xml:space="preserve">M6</t>
  </si>
  <si>
    <t xml:space="preserve">水表基础数据</t>
  </si>
  <si>
    <t xml:space="preserve">FR-6.1</t>
  </si>
  <si>
    <t xml:space="preserve">水表类型</t>
  </si>
  <si>
    <t xml:space="preserve">4.6.1</t>
  </si>
  <si>
    <r>
      <rPr>
        <sz val="10"/>
        <rFont val="Arial Unicode MS"/>
        <family val="2"/>
        <charset val="1"/>
      </rPr>
      <t xml:space="preserve">维护水表类型字典。字段应含：类型编码（唯一）、类型名称（远传表、水平旋翼、垂直旋翼、流量计等）、是否远传标志、计量方式（机械</t>
    </r>
    <r>
      <rPr>
        <sz val="10"/>
        <rFont val="Arial"/>
        <family val="0"/>
        <charset val="1"/>
      </rPr>
      <t xml:space="preserve">/</t>
    </r>
    <r>
      <rPr>
        <sz val="10"/>
        <rFont val="Arial Unicode MS"/>
        <family val="2"/>
        <charset val="1"/>
      </rPr>
      <t xml:space="preserve">电子</t>
    </r>
    <r>
      <rPr>
        <sz val="10"/>
        <rFont val="Arial"/>
        <family val="0"/>
        <charset val="1"/>
      </rPr>
      <t xml:space="preserve">/</t>
    </r>
    <r>
      <rPr>
        <sz val="10"/>
        <rFont val="Arial Unicode MS"/>
        <family val="2"/>
        <charset val="1"/>
      </rPr>
      <t xml:space="preserve">超声）、启用</t>
    </r>
    <r>
      <rPr>
        <sz val="10"/>
        <rFont val="Arial"/>
        <family val="0"/>
        <charset val="1"/>
      </rPr>
      <t xml:space="preserve">/</t>
    </r>
    <r>
      <rPr>
        <sz val="10"/>
        <rFont val="Arial Unicode MS"/>
        <family val="2"/>
        <charset val="1"/>
      </rPr>
      <t xml:space="preserve">禁用标志、备注。规则：『是否远传』决定该类型水表的抄表数据可否走远传</t>
    </r>
    <r>
      <rPr>
        <sz val="10"/>
        <rFont val="Arial"/>
        <family val="0"/>
        <charset val="1"/>
      </rPr>
      <t xml:space="preserve">/</t>
    </r>
    <r>
      <rPr>
        <sz val="10"/>
        <rFont val="Arial Unicode MS"/>
        <family val="2"/>
        <charset val="1"/>
      </rPr>
      <t xml:space="preserve">抄表机导入通道（</t>
    </r>
    <r>
      <rPr>
        <sz val="10"/>
        <rFont val="Arial"/>
        <family val="0"/>
        <charset val="1"/>
      </rPr>
      <t xml:space="preserve">FR-7.3</t>
    </r>
    <r>
      <rPr>
        <sz val="10"/>
        <rFont val="Arial Unicode MS"/>
        <family val="2"/>
        <charset val="1"/>
      </rPr>
      <t xml:space="preserve">），非远传表只能手工或表格录入；被水表档案引用的类型禁止删除，只能禁用；禁用类型不可在新装表时选择。</t>
    </r>
  </si>
  <si>
    <r>
      <rPr>
        <sz val="10"/>
        <rFont val="Arial Unicode MS"/>
        <family val="2"/>
        <charset val="1"/>
      </rPr>
      <t xml:space="preserve">类型编码；类型名称；是否远传；计量方式；启用</t>
    </r>
    <r>
      <rPr>
        <sz val="10"/>
        <rFont val="Arial"/>
        <family val="0"/>
        <charset val="1"/>
      </rPr>
      <t xml:space="preserve">/</t>
    </r>
    <r>
      <rPr>
        <sz val="10"/>
        <rFont val="Arial Unicode MS"/>
        <family val="2"/>
        <charset val="1"/>
      </rPr>
      <t xml:space="preserve">禁用标志</t>
    </r>
  </si>
  <si>
    <t xml:space="preserve">水表类型列表；操作结果提示</t>
  </si>
  <si>
    <t xml:space="preserve">远传类型水表可出现在远传数据导入范围内，非远传类型不出现
禁用类型在新装表界面不可选
删除被引用类型被拒绝</t>
  </si>
  <si>
    <r>
      <rPr>
        <sz val="10"/>
        <rFont val="Arial"/>
        <family val="0"/>
        <charset val="1"/>
      </rPr>
      <t xml:space="preserve">SRS</t>
    </r>
    <r>
      <rPr>
        <sz val="10"/>
        <rFont val="Arial Unicode MS"/>
        <family val="2"/>
        <charset val="1"/>
      </rPr>
      <t xml:space="preserve">未定义水表类型与抄表通道的联动规则，『是否远传』标志为细化补充。</t>
    </r>
  </si>
  <si>
    <t xml:space="preserve">FR-6.2</t>
  </si>
  <si>
    <t xml:space="preserve">水表口径</t>
  </si>
  <si>
    <t xml:space="preserve">4.6.2</t>
  </si>
  <si>
    <r>
      <rPr>
        <sz val="10"/>
        <rFont val="Arial Unicode MS"/>
        <family val="2"/>
        <charset val="1"/>
      </rPr>
      <t xml:space="preserve">维护水表口径规格字典。字段应含：口径编码、口径规格（</t>
    </r>
    <r>
      <rPr>
        <sz val="10"/>
        <rFont val="Arial"/>
        <family val="0"/>
        <charset val="1"/>
      </rPr>
      <t xml:space="preserve">DN15/DN20/DN25/DN40/DN50/DN100</t>
    </r>
    <r>
      <rPr>
        <sz val="10"/>
        <rFont val="Arial Unicode MS"/>
        <family val="2"/>
        <charset val="1"/>
      </rPr>
      <t xml:space="preserve">等）、最大读数（表位量程，如</t>
    </r>
    <r>
      <rPr>
        <sz val="10"/>
        <rFont val="Arial"/>
        <family val="0"/>
        <charset val="1"/>
      </rPr>
      <t xml:space="preserve">99999</t>
    </r>
    <r>
      <rPr>
        <sz val="10"/>
        <rFont val="Arial Unicode MS"/>
        <family val="2"/>
        <charset val="1"/>
      </rPr>
      <t xml:space="preserve">，用于翻表过零水量计算）、换表读数（累计行度达到该值触发换表建议）、换表周期（使用年限，年，驱动周期换表计划）、启用</t>
    </r>
    <r>
      <rPr>
        <sz val="10"/>
        <rFont val="Arial"/>
        <family val="0"/>
        <charset val="1"/>
      </rPr>
      <t xml:space="preserve">/</t>
    </r>
    <r>
      <rPr>
        <sz val="10"/>
        <rFont val="Arial Unicode MS"/>
        <family val="2"/>
        <charset val="1"/>
      </rPr>
      <t xml:space="preserve">停用标志。规则：抄表算量时若本期行至小于上期行至且判定为翻表，按『最大读数</t>
    </r>
    <r>
      <rPr>
        <sz val="10"/>
        <rFont val="Arial"/>
        <family val="0"/>
        <charset val="1"/>
      </rPr>
      <t xml:space="preserve">-</t>
    </r>
    <r>
      <rPr>
        <sz val="10"/>
        <rFont val="Arial Unicode MS"/>
        <family val="2"/>
        <charset val="1"/>
      </rPr>
      <t xml:space="preserve">上期行至</t>
    </r>
    <r>
      <rPr>
        <sz val="10"/>
        <rFont val="Arial"/>
        <family val="0"/>
        <charset val="1"/>
      </rPr>
      <t xml:space="preserve">+</t>
    </r>
    <r>
      <rPr>
        <sz val="10"/>
        <rFont val="Arial Unicode MS"/>
        <family val="2"/>
        <charset val="1"/>
      </rPr>
      <t xml:space="preserve">本期行至』修正水量；表务周期换表计划按『装表日期</t>
    </r>
    <r>
      <rPr>
        <sz val="10"/>
        <rFont val="Arial"/>
        <family val="0"/>
        <charset val="1"/>
      </rPr>
      <t xml:space="preserve">+</t>
    </r>
    <r>
      <rPr>
        <sz val="10"/>
        <rFont val="Arial Unicode MS"/>
        <family val="2"/>
        <charset val="1"/>
      </rPr>
      <t xml:space="preserve">换表周期』或『累计行度≥换表读数』两条件筛选到期表；被水表档案引用的口径禁止删除。</t>
    </r>
  </si>
  <si>
    <t xml:space="preserve">口径规格；最大读数；换表读数；换表周期（年）；启停用标志</t>
  </si>
  <si>
    <t xml:space="preserve">水表口径列表及各口径参数；操作结果提示</t>
  </si>
  <si>
    <r>
      <rPr>
        <sz val="10"/>
        <rFont val="Arial Unicode MS"/>
        <family val="2"/>
        <charset val="1"/>
      </rPr>
      <t xml:space="preserve">翻表用户的本期水量按该口径最大读数正确修正
换表读数</t>
    </r>
    <r>
      <rPr>
        <sz val="10"/>
        <rFont val="Arial"/>
        <family val="0"/>
        <charset val="1"/>
      </rPr>
      <t xml:space="preserve">&gt;</t>
    </r>
    <r>
      <rPr>
        <sz val="10"/>
        <rFont val="Arial Unicode MS"/>
        <family val="2"/>
        <charset val="1"/>
      </rPr>
      <t xml:space="preserve">最大读数时保存被拒绝
到达换表周期的水表出现在周期换表计划中</t>
    </r>
  </si>
  <si>
    <r>
      <rPr>
        <sz val="10"/>
        <rFont val="Arial"/>
        <family val="0"/>
        <charset val="1"/>
      </rPr>
      <t xml:space="preserve">SRS</t>
    </r>
    <r>
      <rPr>
        <sz val="10"/>
        <rFont val="Arial Unicode MS"/>
        <family val="2"/>
        <charset val="1"/>
      </rPr>
      <t xml:space="preserve">操作序列误写『打开水表类型，新增修改水表类型』，应为水表口径，系复制粘贴错误。</t>
    </r>
  </si>
  <si>
    <t xml:space="preserve">FR-6.3</t>
  </si>
  <si>
    <t xml:space="preserve">水表参数</t>
  </si>
  <si>
    <t xml:space="preserve">4.6.3</t>
  </si>
  <si>
    <r>
      <rPr>
        <sz val="10"/>
        <rFont val="Arial Unicode MS"/>
        <family val="2"/>
        <charset val="1"/>
      </rPr>
      <t xml:space="preserve">按口径维护水表计量与检定参数。字段应含：所属口径（引用</t>
    </r>
    <r>
      <rPr>
        <sz val="10"/>
        <rFont val="Arial"/>
        <family val="0"/>
        <charset val="1"/>
      </rPr>
      <t xml:space="preserve">FR-6.2</t>
    </r>
    <r>
      <rPr>
        <sz val="10"/>
        <rFont val="Arial Unicode MS"/>
        <family val="2"/>
        <charset val="1"/>
      </rPr>
      <t xml:space="preserve">）、参数项编码</t>
    </r>
    <r>
      <rPr>
        <sz val="10"/>
        <rFont val="Arial"/>
        <family val="0"/>
        <charset val="1"/>
      </rPr>
      <t xml:space="preserve">/</t>
    </r>
    <r>
      <rPr>
        <sz val="10"/>
        <rFont val="Arial Unicode MS"/>
        <family val="2"/>
        <charset val="1"/>
      </rPr>
      <t xml:space="preserve">名称、参数值、计量单位，典型参数项包括：公称流量</t>
    </r>
    <r>
      <rPr>
        <sz val="10"/>
        <rFont val="Arial"/>
        <family val="0"/>
        <charset val="1"/>
      </rPr>
      <t xml:space="preserve">Q3</t>
    </r>
    <r>
      <rPr>
        <sz val="10"/>
        <rFont val="Arial Unicode MS"/>
        <family val="2"/>
        <charset val="1"/>
      </rPr>
      <t xml:space="preserve">、最小流量</t>
    </r>
    <r>
      <rPr>
        <sz val="10"/>
        <rFont val="Arial"/>
        <family val="0"/>
        <charset val="1"/>
      </rPr>
      <t xml:space="preserve">Q1</t>
    </r>
    <r>
      <rPr>
        <sz val="10"/>
        <rFont val="Arial Unicode MS"/>
        <family val="2"/>
        <charset val="1"/>
      </rPr>
      <t xml:space="preserve">、分界流量</t>
    </r>
    <r>
      <rPr>
        <sz val="10"/>
        <rFont val="Arial"/>
        <family val="0"/>
        <charset val="1"/>
      </rPr>
      <t xml:space="preserve">Q2</t>
    </r>
    <r>
      <rPr>
        <sz val="10"/>
        <rFont val="Arial Unicode MS"/>
        <family val="2"/>
        <charset val="1"/>
      </rPr>
      <t xml:space="preserve">、始动流量、计量等级、首检有效期、周检周期（年）、检定依据规程、压力等级。规则：一个口径下可维护多条参数记录（参数项</t>
    </r>
    <r>
      <rPr>
        <sz val="10"/>
        <rFont val="Arial"/>
        <family val="0"/>
        <charset val="1"/>
      </rPr>
      <t xml:space="preserve">-</t>
    </r>
    <r>
      <rPr>
        <sz val="10"/>
        <rFont val="Arial Unicode MS"/>
        <family val="2"/>
        <charset val="1"/>
      </rPr>
      <t xml:space="preserve">参数值键值结构）；参数供水表检定</t>
    </r>
    <r>
      <rPr>
        <sz val="10"/>
        <rFont val="Arial"/>
        <family val="0"/>
        <charset val="1"/>
      </rPr>
      <t xml:space="preserve">/</t>
    </r>
    <r>
      <rPr>
        <sz val="10"/>
        <rFont val="Arial Unicode MS"/>
        <family val="2"/>
        <charset val="1"/>
      </rPr>
      <t xml:space="preserve">周检计划与表务台账引用；参数修改留版本记录以便追溯历史检定依据。</t>
    </r>
  </si>
  <si>
    <t xml:space="preserve">口径；参数项；参数值；计量单位</t>
  </si>
  <si>
    <t xml:space="preserve">口径下参数信息列表；参数修改版本记录；操作结果提示</t>
  </si>
  <si>
    <t xml:space="preserve">同一口径下同一参数项唯一
参数修改后可查询修改前的历史版本</t>
  </si>
  <si>
    <r>
      <rPr>
        <sz val="10"/>
        <rFont val="Arial"/>
        <family val="0"/>
        <charset val="1"/>
      </rPr>
      <t xml:space="preserve">SRS</t>
    </r>
    <r>
      <rPr>
        <sz val="10"/>
        <rFont val="Arial Unicode MS"/>
        <family val="2"/>
        <charset val="1"/>
      </rPr>
      <t xml:space="preserve">未列出任何具体参数项，且与</t>
    </r>
    <r>
      <rPr>
        <sz val="10"/>
        <rFont val="Arial"/>
        <family val="0"/>
        <charset val="1"/>
      </rPr>
      <t xml:space="preserve">4.6.2</t>
    </r>
    <r>
      <rPr>
        <sz val="10"/>
        <rFont val="Arial Unicode MS"/>
        <family val="2"/>
        <charset val="1"/>
      </rPr>
      <t xml:space="preserve">（口径）职责边界模糊——口径节已含最大读数</t>
    </r>
    <r>
      <rPr>
        <sz val="10"/>
        <rFont val="Arial"/>
        <family val="0"/>
        <charset val="1"/>
      </rPr>
      <t xml:space="preserve">/</t>
    </r>
    <r>
      <rPr>
        <sz val="10"/>
        <rFont val="Arial Unicode MS"/>
        <family val="2"/>
        <charset val="1"/>
      </rPr>
      <t xml:space="preserve">换表读数</t>
    </r>
    <r>
      <rPr>
        <sz val="10"/>
        <rFont val="Arial"/>
        <family val="0"/>
        <charset val="1"/>
      </rPr>
      <t xml:space="preserve">/</t>
    </r>
    <r>
      <rPr>
        <sz val="10"/>
        <rFont val="Arial Unicode MS"/>
        <family val="2"/>
        <charset val="1"/>
      </rPr>
      <t xml:space="preserve">换表周期，本节按『计量检定类参数』细化划分，两节字段归属需与业务澄清。</t>
    </r>
  </si>
  <si>
    <t xml:space="preserve">FR-6.4</t>
  </si>
  <si>
    <t xml:space="preserve">水表厂家</t>
  </si>
  <si>
    <t xml:space="preserve">4.6.4</t>
  </si>
  <si>
    <r>
      <rPr>
        <sz val="10"/>
        <rFont val="Arial Unicode MS"/>
        <family val="2"/>
        <charset val="1"/>
      </rPr>
      <t xml:space="preserve">维护水表生产厂家档案。字段应含：厂家编码（唯一）、厂家名称、统一社会信用代码、联系人、联系电话、地址、供货范围（口径</t>
    </r>
    <r>
      <rPr>
        <sz val="10"/>
        <rFont val="Arial"/>
        <family val="0"/>
        <charset val="1"/>
      </rPr>
      <t xml:space="preserve">/</t>
    </r>
    <r>
      <rPr>
        <sz val="10"/>
        <rFont val="Arial Unicode MS"/>
        <family val="2"/>
        <charset val="1"/>
      </rPr>
      <t xml:space="preserve">类型）、资质有效期、启用</t>
    </r>
    <r>
      <rPr>
        <sz val="10"/>
        <rFont val="Arial"/>
        <family val="0"/>
        <charset val="1"/>
      </rPr>
      <t xml:space="preserve">/</t>
    </r>
    <r>
      <rPr>
        <sz val="10"/>
        <rFont val="Arial Unicode MS"/>
        <family val="2"/>
        <charset val="1"/>
      </rPr>
      <t xml:space="preserve">禁用标志、备注。规则：水表档案（表身号入库）须挂接厂家，用于质量追溯与到货验收统计；被水表档案引用的厂家禁止删除，只允许禁用；禁用厂家不可在新表入库时选择。</t>
    </r>
  </si>
  <si>
    <r>
      <rPr>
        <sz val="10"/>
        <rFont val="Arial Unicode MS"/>
        <family val="2"/>
        <charset val="1"/>
      </rPr>
      <t xml:space="preserve">厂家编码；厂家名称；统一社会信用代码；联系人；联系电话；地址；供货范围；启用</t>
    </r>
    <r>
      <rPr>
        <sz val="10"/>
        <rFont val="Arial"/>
        <family val="0"/>
        <charset val="1"/>
      </rPr>
      <t xml:space="preserve">/</t>
    </r>
    <r>
      <rPr>
        <sz val="10"/>
        <rFont val="Arial Unicode MS"/>
        <family val="2"/>
        <charset val="1"/>
      </rPr>
      <t xml:space="preserve">禁用标志</t>
    </r>
  </si>
  <si>
    <t xml:space="preserve">水表厂家列表；操作结果提示</t>
  </si>
  <si>
    <t xml:space="preserve">新增厂家后可在水表入库时被选择
删除被引用厂家被拒绝，禁用后新入库不可选
按厂家可统计其在装水表数量</t>
  </si>
  <si>
    <r>
      <rPr>
        <sz val="10"/>
        <rFont val="Arial"/>
        <family val="0"/>
        <charset val="1"/>
      </rPr>
      <t xml:space="preserve">SRS</t>
    </r>
    <r>
      <rPr>
        <sz val="10"/>
        <rFont val="Arial Unicode MS"/>
        <family val="2"/>
        <charset val="1"/>
      </rPr>
      <t xml:space="preserve">重大文档缺陷：输出栏写『号码池内显示关联的隐号网关』，系通信行业项目文档复制残留；真实输出内容被误置于补充说明栏（『展示系统所有的水表水表厂家』，且『水表』二字重复），两栏内容颠倒，需修订</t>
    </r>
    <r>
      <rPr>
        <sz val="10"/>
        <rFont val="Arial"/>
        <family val="0"/>
        <charset val="1"/>
      </rPr>
      <t xml:space="preserve">SRS</t>
    </r>
    <r>
      <rPr>
        <sz val="10"/>
        <rFont val="Arial Unicode MS"/>
        <family val="2"/>
        <charset val="1"/>
      </rPr>
      <t xml:space="preserve">。</t>
    </r>
  </si>
  <si>
    <t xml:space="preserve">M7</t>
  </si>
  <si>
    <t xml:space="preserve">抄表计划</t>
  </si>
  <si>
    <t xml:space="preserve">FR-7.1</t>
  </si>
  <si>
    <t xml:space="preserve">手工抄表录入</t>
  </si>
  <si>
    <t xml:space="preserve">4.7.1</t>
  </si>
  <si>
    <r>
      <rPr>
        <sz val="10"/>
        <rFont val="Arial Unicode MS"/>
        <family val="2"/>
        <charset val="1"/>
      </rPr>
      <t xml:space="preserve">柜面</t>
    </r>
    <r>
      <rPr>
        <sz val="10"/>
        <rFont val="Arial"/>
        <family val="0"/>
        <charset val="1"/>
      </rPr>
      <t xml:space="preserve">/</t>
    </r>
    <r>
      <rPr>
        <sz val="10"/>
        <rFont val="Arial Unicode MS"/>
        <family val="2"/>
        <charset val="1"/>
      </rPr>
      <t xml:space="preserve">内勤逐户录入抄表读数。按表册顺序（</t>
    </r>
    <r>
      <rPr>
        <sz val="10"/>
        <rFont val="Arial"/>
        <family val="0"/>
        <charset val="1"/>
      </rPr>
      <t xml:space="preserve">FR-2.3</t>
    </r>
    <r>
      <rPr>
        <sz val="10"/>
        <rFont val="Arial Unicode MS"/>
        <family val="2"/>
        <charset val="1"/>
      </rPr>
      <t xml:space="preserve">）或户号定位用户，界面展示：上期行至、上期抄表日期、近</t>
    </r>
    <r>
      <rPr>
        <sz val="10"/>
        <rFont val="Arial"/>
        <family val="0"/>
        <charset val="1"/>
      </rPr>
      <t xml:space="preserve">6</t>
    </r>
    <r>
      <rPr>
        <sz val="10"/>
        <rFont val="Arial Unicode MS"/>
        <family val="2"/>
        <charset val="1"/>
      </rPr>
      <t xml:space="preserve">期平均水量、换表信息（换表日期、旧表止度、新表起度——影响本期水量拼接）、总分表信息（总表</t>
    </r>
    <r>
      <rPr>
        <sz val="10"/>
        <rFont val="Arial"/>
        <family val="0"/>
        <charset val="1"/>
      </rPr>
      <t xml:space="preserve">/</t>
    </r>
    <r>
      <rPr>
        <sz val="10"/>
        <rFont val="Arial Unicode MS"/>
        <family val="2"/>
        <charset val="1"/>
      </rPr>
      <t xml:space="preserve">分表关系——影响总分差水量分摊）、备忘信息（如门禁、狗、表位变更等抄表提示）。录入本期行至后系统自动计算本期水量</t>
    </r>
    <r>
      <rPr>
        <sz val="10"/>
        <rFont val="Arial"/>
        <family val="0"/>
        <charset val="1"/>
      </rPr>
      <t xml:space="preserve">=</t>
    </r>
    <r>
      <rPr>
        <sz val="10"/>
        <rFont val="Arial Unicode MS"/>
        <family val="2"/>
        <charset val="1"/>
      </rPr>
      <t xml:space="preserve">本期行至</t>
    </r>
    <r>
      <rPr>
        <sz val="10"/>
        <rFont val="Arial"/>
        <family val="0"/>
        <charset val="1"/>
      </rPr>
      <t xml:space="preserve">-</t>
    </r>
    <r>
      <rPr>
        <sz val="10"/>
        <rFont val="Arial Unicode MS"/>
        <family val="2"/>
        <charset val="1"/>
      </rPr>
      <t xml:space="preserve">上期行至，遇换表按『旧表止度</t>
    </r>
    <r>
      <rPr>
        <sz val="10"/>
        <rFont val="Arial"/>
        <family val="0"/>
        <charset val="1"/>
      </rPr>
      <t xml:space="preserve">-</t>
    </r>
    <r>
      <rPr>
        <sz val="10"/>
        <rFont val="Arial Unicode MS"/>
        <family val="2"/>
        <charset val="1"/>
      </rPr>
      <t xml:space="preserve">上期行至</t>
    </r>
    <r>
      <rPr>
        <sz val="10"/>
        <rFont val="Arial"/>
        <family val="0"/>
        <charset val="1"/>
      </rPr>
      <t xml:space="preserve">+</t>
    </r>
    <r>
      <rPr>
        <sz val="10"/>
        <rFont val="Arial Unicode MS"/>
        <family val="2"/>
        <charset val="1"/>
      </rPr>
      <t xml:space="preserve">本期行至</t>
    </r>
    <r>
      <rPr>
        <sz val="10"/>
        <rFont val="Arial"/>
        <family val="0"/>
        <charset val="1"/>
      </rPr>
      <t xml:space="preserve">-</t>
    </r>
    <r>
      <rPr>
        <sz val="10"/>
        <rFont val="Arial Unicode MS"/>
        <family val="2"/>
        <charset val="1"/>
      </rPr>
      <t xml:space="preserve">新表起度』拼接，遇翻表按口径最大读数（</t>
    </r>
    <r>
      <rPr>
        <sz val="10"/>
        <rFont val="Arial"/>
        <family val="0"/>
        <charset val="1"/>
      </rPr>
      <t xml:space="preserve">FR-6.2</t>
    </r>
    <r>
      <rPr>
        <sz val="10"/>
        <rFont val="Arial Unicode MS"/>
        <family val="2"/>
        <charset val="1"/>
      </rPr>
      <t xml:space="preserve">）修正。录入即时校验：负行度（本期</t>
    </r>
    <r>
      <rPr>
        <sz val="10"/>
        <rFont val="Arial"/>
        <family val="0"/>
        <charset val="1"/>
      </rPr>
      <t xml:space="preserve">&lt;</t>
    </r>
    <r>
      <rPr>
        <sz val="10"/>
        <rFont val="Arial Unicode MS"/>
        <family val="2"/>
        <charset val="1"/>
      </rPr>
      <t xml:space="preserve">上期且非换表</t>
    </r>
    <r>
      <rPr>
        <sz val="10"/>
        <rFont val="Arial"/>
        <family val="0"/>
        <charset val="1"/>
      </rPr>
      <t xml:space="preserve">/</t>
    </r>
    <r>
      <rPr>
        <sz val="10"/>
        <rFont val="Arial Unicode MS"/>
        <family val="2"/>
        <charset val="1"/>
      </rPr>
      <t xml:space="preserve">翻表）、水量为</t>
    </r>
    <r>
      <rPr>
        <sz val="10"/>
        <rFont val="Arial"/>
        <family val="0"/>
        <charset val="1"/>
      </rPr>
      <t xml:space="preserve">0</t>
    </r>
    <r>
      <rPr>
        <sz val="10"/>
        <rFont val="Arial Unicode MS"/>
        <family val="2"/>
        <charset val="1"/>
      </rPr>
      <t xml:space="preserve">、水量超近</t>
    </r>
    <r>
      <rPr>
        <sz val="10"/>
        <rFont val="Arial"/>
        <family val="0"/>
        <charset val="1"/>
      </rPr>
      <t xml:space="preserve">6</t>
    </r>
    <r>
      <rPr>
        <sz val="10"/>
        <rFont val="Arial Unicode MS"/>
        <family val="2"/>
        <charset val="1"/>
      </rPr>
      <t xml:space="preserve">期均量</t>
    </r>
    <r>
      <rPr>
        <sz val="10"/>
        <rFont val="Arial"/>
        <family val="0"/>
        <charset val="1"/>
      </rPr>
      <t xml:space="preserve">N</t>
    </r>
    <r>
      <rPr>
        <sz val="10"/>
        <rFont val="Arial Unicode MS"/>
        <family val="2"/>
        <charset val="1"/>
      </rPr>
      <t xml:space="preserve">倍（</t>
    </r>
    <r>
      <rPr>
        <sz val="10"/>
        <rFont val="Arial"/>
        <family val="0"/>
        <charset val="1"/>
      </rPr>
      <t xml:space="preserve">N</t>
    </r>
    <r>
      <rPr>
        <sz val="10"/>
        <rFont val="Arial Unicode MS"/>
        <family val="2"/>
        <charset val="1"/>
      </rPr>
      <t xml:space="preserve">可配置）时标记异常并要求选择异常原因（估抄</t>
    </r>
    <r>
      <rPr>
        <sz val="10"/>
        <rFont val="Arial"/>
        <family val="0"/>
        <charset val="1"/>
      </rPr>
      <t xml:space="preserve">/</t>
    </r>
    <r>
      <rPr>
        <sz val="10"/>
        <rFont val="Arial Unicode MS"/>
        <family val="2"/>
        <charset val="1"/>
      </rPr>
      <t xml:space="preserve">复核待办）。抄完当前户，界面下方即时显示按水价试算的账单信息（水量、金额）。</t>
    </r>
  </si>
  <si>
    <t xml:space="preserve">表册号；户号；本期行至；抄表日期；异常原因（如有）</t>
  </si>
  <si>
    <t xml:space="preserve">当前抄表户的抄表信息（本期水量、异常标记）；账单试算信息；全册抄表进度与异常汇总</t>
  </si>
  <si>
    <r>
      <rPr>
        <sz val="10"/>
        <rFont val="Arial Unicode MS"/>
        <family val="2"/>
        <charset val="1"/>
      </rPr>
      <t xml:space="preserve">换表户本期水量</t>
    </r>
    <r>
      <rPr>
        <sz val="10"/>
        <rFont val="Arial"/>
        <family val="0"/>
        <charset val="1"/>
      </rPr>
      <t xml:space="preserve">=</t>
    </r>
    <r>
      <rPr>
        <sz val="10"/>
        <rFont val="Arial Unicode MS"/>
        <family val="2"/>
        <charset val="1"/>
      </rPr>
      <t xml:space="preserve">旧表段</t>
    </r>
    <r>
      <rPr>
        <sz val="10"/>
        <rFont val="Arial"/>
        <family val="0"/>
        <charset val="1"/>
      </rPr>
      <t xml:space="preserve">+</t>
    </r>
    <r>
      <rPr>
        <sz val="10"/>
        <rFont val="Arial Unicode MS"/>
        <family val="2"/>
        <charset val="1"/>
      </rPr>
      <t xml:space="preserve">新表段之和，计算正确
本期行至小于上期行至且非换表时系统强制异常标记，不能静默入库
抄表完成后界面即时显示账单试算信息
超均量</t>
    </r>
    <r>
      <rPr>
        <sz val="10"/>
        <rFont val="Arial"/>
        <family val="0"/>
        <charset val="1"/>
      </rPr>
      <t xml:space="preserve">N</t>
    </r>
    <r>
      <rPr>
        <sz val="10"/>
        <rFont val="Arial Unicode MS"/>
        <family val="2"/>
        <charset val="1"/>
      </rPr>
      <t xml:space="preserve">倍阈值可配置且触发提示</t>
    </r>
  </si>
  <si>
    <r>
      <rPr>
        <sz val="10"/>
        <rFont val="Arial"/>
        <family val="0"/>
        <charset val="1"/>
      </rPr>
      <t xml:space="preserve">3.3</t>
    </r>
    <r>
      <rPr>
        <sz val="10"/>
        <rFont val="Arial Unicode MS"/>
        <family val="2"/>
        <charset val="1"/>
      </rPr>
      <t xml:space="preserve">明确换表</t>
    </r>
    <r>
      <rPr>
        <sz val="10"/>
        <rFont val="Arial"/>
        <family val="0"/>
        <charset val="1"/>
      </rPr>
      <t xml:space="preserve">/</t>
    </r>
    <r>
      <rPr>
        <sz val="10"/>
        <rFont val="Arial Unicode MS"/>
        <family val="2"/>
        <charset val="1"/>
      </rPr>
      <t xml:space="preserve">总分表</t>
    </r>
    <r>
      <rPr>
        <sz val="10"/>
        <rFont val="Arial"/>
        <family val="0"/>
        <charset val="1"/>
      </rPr>
      <t xml:space="preserve">/</t>
    </r>
    <r>
      <rPr>
        <sz val="10"/>
        <rFont val="Arial Unicode MS"/>
        <family val="2"/>
        <charset val="1"/>
      </rPr>
      <t xml:space="preserve">备忘三项影响抄表结果，但</t>
    </r>
    <r>
      <rPr>
        <sz val="10"/>
        <rFont val="Arial"/>
        <family val="0"/>
        <charset val="1"/>
      </rPr>
      <t xml:space="preserve">4.7.1</t>
    </r>
    <r>
      <rPr>
        <sz val="10"/>
        <rFont val="Arial Unicode MS"/>
        <family val="2"/>
        <charset val="1"/>
      </rPr>
      <t xml:space="preserve">正文未展开三项的具体影响规则，水量拼接与总分差分摊算法为细化补充，需算费规则确认。</t>
    </r>
  </si>
  <si>
    <t xml:space="preserve">FR-7.2</t>
  </si>
  <si>
    <t xml:space="preserve">表格录入</t>
  </si>
  <si>
    <t xml:space="preserve">4.7.2</t>
  </si>
  <si>
    <r>
      <rPr>
        <sz val="10"/>
        <rFont val="Arial Unicode MS"/>
        <family val="2"/>
        <charset val="1"/>
      </rPr>
      <t xml:space="preserve">通过</t>
    </r>
    <r>
      <rPr>
        <sz val="10"/>
        <rFont val="Arial"/>
        <family val="0"/>
        <charset val="1"/>
      </rPr>
      <t xml:space="preserve">Excel</t>
    </r>
    <r>
      <rPr>
        <sz val="10"/>
        <rFont val="Arial Unicode MS"/>
        <family val="2"/>
        <charset val="1"/>
      </rPr>
      <t xml:space="preserve">模板批量导入抄表数据。系统提供标准模板下载（列：户号、表身号、本期行至、抄表日期、备注），内勤填报后上传，系统逐行解析校验：户号存在性、户号在本期计划内、表身号与档案一致、本期行至为数字、同批次</t>
    </r>
    <r>
      <rPr>
        <sz val="10"/>
        <rFont val="Arial"/>
        <family val="0"/>
        <charset val="1"/>
      </rPr>
      <t xml:space="preserve">/</t>
    </r>
    <r>
      <rPr>
        <sz val="10"/>
        <rFont val="Arial Unicode MS"/>
        <family val="2"/>
        <charset val="1"/>
      </rPr>
      <t xml:space="preserve">同账期重复行、负行度与超均量异常。校验全部通过（或按『部分通过』策略）后写入抄表记录，异常行不入库并生成错误清单（行号</t>
    </r>
    <r>
      <rPr>
        <sz val="10"/>
        <rFont val="Arial"/>
        <family val="0"/>
        <charset val="1"/>
      </rPr>
      <t xml:space="preserve">+</t>
    </r>
    <r>
      <rPr>
        <sz val="10"/>
        <rFont val="Arial Unicode MS"/>
        <family val="2"/>
        <charset val="1"/>
      </rPr>
      <t xml:space="preserve">原因）供下载修正后重新上传。导入结果给出统计：总行数、成功、失败、异常待复核。</t>
    </r>
  </si>
  <si>
    <r>
      <rPr>
        <sz val="10"/>
        <rFont val="Arial"/>
        <family val="0"/>
        <charset val="1"/>
      </rPr>
      <t xml:space="preserve">Excel</t>
    </r>
    <r>
      <rPr>
        <sz val="10"/>
        <rFont val="Arial Unicode MS"/>
        <family val="2"/>
        <charset val="1"/>
      </rPr>
      <t xml:space="preserve">文件（户号、表身号、本期行至、抄表日期、备注）</t>
    </r>
  </si>
  <si>
    <r>
      <rPr>
        <sz val="10"/>
        <rFont val="Arial Unicode MS"/>
        <family val="2"/>
        <charset val="1"/>
      </rPr>
      <t xml:space="preserve">校验预览结果；导入结果统计（总行</t>
    </r>
    <r>
      <rPr>
        <sz val="10"/>
        <rFont val="Arial"/>
        <family val="0"/>
        <charset val="1"/>
      </rPr>
      <t xml:space="preserve">/</t>
    </r>
    <r>
      <rPr>
        <sz val="10"/>
        <rFont val="Arial Unicode MS"/>
        <family val="2"/>
        <charset val="1"/>
      </rPr>
      <t xml:space="preserve">成功</t>
    </r>
    <r>
      <rPr>
        <sz val="10"/>
        <rFont val="Arial"/>
        <family val="0"/>
        <charset val="1"/>
      </rPr>
      <t xml:space="preserve">/</t>
    </r>
    <r>
      <rPr>
        <sz val="10"/>
        <rFont val="Arial Unicode MS"/>
        <family val="2"/>
        <charset val="1"/>
      </rPr>
      <t xml:space="preserve">失败</t>
    </r>
    <r>
      <rPr>
        <sz val="10"/>
        <rFont val="Arial"/>
        <family val="0"/>
        <charset val="1"/>
      </rPr>
      <t xml:space="preserve">/</t>
    </r>
    <r>
      <rPr>
        <sz val="10"/>
        <rFont val="Arial Unicode MS"/>
        <family val="2"/>
        <charset val="1"/>
      </rPr>
      <t xml:space="preserve">异常）；错误清单文件</t>
    </r>
  </si>
  <si>
    <r>
      <rPr>
        <sz val="10"/>
        <rFont val="Arial Unicode MS"/>
        <family val="2"/>
        <charset val="1"/>
      </rPr>
      <t xml:space="preserve">含错误行的文件导入后合格行成功入库、错误行有明确行号与原因
同批次重复户号按配置策略处理且不产生重复抄表记录
导入的读数同样执行负行度</t>
    </r>
    <r>
      <rPr>
        <sz val="10"/>
        <rFont val="Arial"/>
        <family val="0"/>
        <charset val="1"/>
      </rPr>
      <t xml:space="preserve">/</t>
    </r>
    <r>
      <rPr>
        <sz val="10"/>
        <rFont val="Arial Unicode MS"/>
        <family val="2"/>
        <charset val="1"/>
      </rPr>
      <t xml:space="preserve">超均量异常校验</t>
    </r>
  </si>
  <si>
    <r>
      <rPr>
        <sz val="10"/>
        <rFont val="Arial"/>
        <family val="0"/>
        <charset val="1"/>
      </rPr>
      <t xml:space="preserve">SRS</t>
    </r>
    <r>
      <rPr>
        <sz val="10"/>
        <rFont val="Arial Unicode MS"/>
        <family val="2"/>
        <charset val="1"/>
      </rPr>
      <t xml:space="preserve">该节输入、输出均填『无』且未定义模板字段，属文档缺陷；模板列与校验规则为本细化补充。</t>
    </r>
  </si>
  <si>
    <t xml:space="preserve">FR-7.3</t>
  </si>
  <si>
    <t xml:space="preserve">抄表数据导入</t>
  </si>
  <si>
    <t xml:space="preserve">4.7.3</t>
  </si>
  <si>
    <r>
      <rPr>
        <sz val="10"/>
        <rFont val="Arial Unicode MS"/>
        <family val="2"/>
        <charset val="1"/>
      </rPr>
      <t xml:space="preserve">将抄表机（掌上机）采集数据文件或远传表自动采集数据导入系统。抄表机路径：抄表员外勤抄表后回传数据文件，选择表册与文件上传，系统按设备号</t>
    </r>
    <r>
      <rPr>
        <sz val="10"/>
        <rFont val="Arial"/>
        <family val="0"/>
        <charset val="1"/>
      </rPr>
      <t xml:space="preserve">+</t>
    </r>
    <r>
      <rPr>
        <sz val="10"/>
        <rFont val="Arial Unicode MS"/>
        <family val="2"/>
        <charset val="1"/>
      </rPr>
      <t xml:space="preserve">表册匹配任务，解析每户读数、抄表时间、现场照片</t>
    </r>
    <r>
      <rPr>
        <sz val="10"/>
        <rFont val="Arial"/>
        <family val="0"/>
        <charset val="1"/>
      </rPr>
      <t xml:space="preserve">/</t>
    </r>
    <r>
      <rPr>
        <sz val="10"/>
        <rFont val="Arial Unicode MS"/>
        <family val="2"/>
        <charset val="1"/>
      </rPr>
      <t xml:space="preserve">坐标（如有）。远传路径：按远传表集抄平台的数据接口</t>
    </r>
    <r>
      <rPr>
        <sz val="10"/>
        <rFont val="Arial"/>
        <family val="0"/>
        <charset val="1"/>
      </rPr>
      <t xml:space="preserve">/</t>
    </r>
    <r>
      <rPr>
        <sz val="10"/>
        <rFont val="Arial Unicode MS"/>
        <family val="2"/>
        <charset val="1"/>
      </rPr>
      <t xml:space="preserve">文件定时拉取读数。两路数据统一进入校验流水线：户表匹配、负行度、零水量、超均量、估抄标记识别，合格数据写入抄表记录并计算水量，异常数据进入异常待复核队列。导入结果统计成功</t>
    </r>
    <r>
      <rPr>
        <sz val="10"/>
        <rFont val="Arial"/>
        <family val="0"/>
        <charset val="1"/>
      </rPr>
      <t xml:space="preserve">/</t>
    </r>
    <r>
      <rPr>
        <sz val="10"/>
        <rFont val="Arial Unicode MS"/>
        <family val="2"/>
        <charset val="1"/>
      </rPr>
      <t xml:space="preserve">失败</t>
    </r>
    <r>
      <rPr>
        <sz val="10"/>
        <rFont val="Arial"/>
        <family val="0"/>
        <charset val="1"/>
      </rPr>
      <t xml:space="preserve">/</t>
    </r>
    <r>
      <rPr>
        <sz val="10"/>
        <rFont val="Arial Unicode MS"/>
        <family val="2"/>
        <charset val="1"/>
      </rPr>
      <t xml:space="preserve">异常户数，支持按表册查看导入明细与未回传户（漏抄）清单。</t>
    </r>
  </si>
  <si>
    <r>
      <rPr>
        <sz val="10"/>
        <rFont val="Arial Unicode MS"/>
        <family val="2"/>
        <charset val="1"/>
      </rPr>
      <t xml:space="preserve">导入来源（抄表机</t>
    </r>
    <r>
      <rPr>
        <sz val="10"/>
        <rFont val="Arial"/>
        <family val="0"/>
        <charset val="1"/>
      </rPr>
      <t xml:space="preserve">/</t>
    </r>
    <r>
      <rPr>
        <sz val="10"/>
        <rFont val="Arial Unicode MS"/>
        <family val="2"/>
        <charset val="1"/>
      </rPr>
      <t xml:space="preserve">远传）；表册号；抄表机数据文件或远传采集日期范围</t>
    </r>
  </si>
  <si>
    <r>
      <rPr>
        <sz val="10"/>
        <rFont val="Arial Unicode MS"/>
        <family val="2"/>
        <charset val="1"/>
      </rPr>
      <t xml:space="preserve">导入结果统计（应抄</t>
    </r>
    <r>
      <rPr>
        <sz val="10"/>
        <rFont val="Arial"/>
        <family val="0"/>
        <charset val="1"/>
      </rPr>
      <t xml:space="preserve">/</t>
    </r>
    <r>
      <rPr>
        <sz val="10"/>
        <rFont val="Arial Unicode MS"/>
        <family val="2"/>
        <charset val="1"/>
      </rPr>
      <t xml:space="preserve">成功</t>
    </r>
    <r>
      <rPr>
        <sz val="10"/>
        <rFont val="Arial"/>
        <family val="0"/>
        <charset val="1"/>
      </rPr>
      <t xml:space="preserve">/</t>
    </r>
    <r>
      <rPr>
        <sz val="10"/>
        <rFont val="Arial Unicode MS"/>
        <family val="2"/>
        <charset val="1"/>
      </rPr>
      <t xml:space="preserve">失败</t>
    </r>
    <r>
      <rPr>
        <sz val="10"/>
        <rFont val="Arial"/>
        <family val="0"/>
        <charset val="1"/>
      </rPr>
      <t xml:space="preserve">/</t>
    </r>
    <r>
      <rPr>
        <sz val="10"/>
        <rFont val="Arial Unicode MS"/>
        <family val="2"/>
        <charset val="1"/>
      </rPr>
      <t xml:space="preserve">异常</t>
    </r>
    <r>
      <rPr>
        <sz val="10"/>
        <rFont val="Arial"/>
        <family val="0"/>
        <charset val="1"/>
      </rPr>
      <t xml:space="preserve">/</t>
    </r>
    <r>
      <rPr>
        <sz val="10"/>
        <rFont val="Arial Unicode MS"/>
        <family val="2"/>
        <charset val="1"/>
      </rPr>
      <t xml:space="preserve">未回传）；异常待复核队列；漏抄户清单</t>
    </r>
  </si>
  <si>
    <r>
      <rPr>
        <sz val="10"/>
        <rFont val="Arial Unicode MS"/>
        <family val="2"/>
        <charset val="1"/>
      </rPr>
      <t xml:space="preserve">抄表机文件导入后成功记录数</t>
    </r>
    <r>
      <rPr>
        <sz val="10"/>
        <rFont val="Arial"/>
        <family val="0"/>
        <charset val="1"/>
      </rPr>
      <t xml:space="preserve">+</t>
    </r>
    <r>
      <rPr>
        <sz val="10"/>
        <rFont val="Arial Unicode MS"/>
        <family val="2"/>
        <charset val="1"/>
      </rPr>
      <t xml:space="preserve">失败</t>
    </r>
    <r>
      <rPr>
        <sz val="10"/>
        <rFont val="Arial"/>
        <family val="0"/>
        <charset val="1"/>
      </rPr>
      <t xml:space="preserve">+</t>
    </r>
    <r>
      <rPr>
        <sz val="10"/>
        <rFont val="Arial Unicode MS"/>
        <family val="2"/>
        <charset val="1"/>
      </rPr>
      <t xml:space="preserve">异常</t>
    </r>
    <r>
      <rPr>
        <sz val="10"/>
        <rFont val="Arial"/>
        <family val="0"/>
        <charset val="1"/>
      </rPr>
      <t xml:space="preserve">+</t>
    </r>
    <r>
      <rPr>
        <sz val="10"/>
        <rFont val="Arial Unicode MS"/>
        <family val="2"/>
        <charset val="1"/>
      </rPr>
      <t xml:space="preserve">未回传</t>
    </r>
    <r>
      <rPr>
        <sz val="10"/>
        <rFont val="Arial"/>
        <family val="0"/>
        <charset val="1"/>
      </rPr>
      <t xml:space="preserve">=</t>
    </r>
    <r>
      <rPr>
        <sz val="10"/>
        <rFont val="Arial Unicode MS"/>
        <family val="2"/>
        <charset val="1"/>
      </rPr>
      <t xml:space="preserve">应抄户数，账目闭合
异常记录不直接进入开账，须经复核处理
同户重复导入不产生重复抄表记录</t>
    </r>
  </si>
  <si>
    <r>
      <rPr>
        <sz val="10"/>
        <rFont val="Arial"/>
        <family val="0"/>
        <charset val="1"/>
      </rPr>
      <t xml:space="preserve">SRS</t>
    </r>
    <r>
      <rPr>
        <sz val="10"/>
        <rFont val="Arial Unicode MS"/>
        <family val="2"/>
        <charset val="1"/>
      </rPr>
      <t xml:space="preserve">操作序列写『打开远传数据导入进行表格数据导入』，将远传导入与表格导入混为一谈，通道定义混乱；输入</t>
    </r>
    <r>
      <rPr>
        <sz val="10"/>
        <rFont val="Arial"/>
        <family val="0"/>
        <charset val="1"/>
      </rPr>
      <t xml:space="preserve">/</t>
    </r>
    <r>
      <rPr>
        <sz val="10"/>
        <rFont val="Arial Unicode MS"/>
        <family val="2"/>
        <charset val="1"/>
      </rPr>
      <t xml:space="preserve">输出栏均为『无』；掌上机任务下载</t>
    </r>
    <r>
      <rPr>
        <sz val="10"/>
        <rFont val="Arial"/>
        <family val="0"/>
        <charset val="1"/>
      </rPr>
      <t xml:space="preserve">-</t>
    </r>
    <r>
      <rPr>
        <sz val="10"/>
        <rFont val="Arial Unicode MS"/>
        <family val="2"/>
        <charset val="1"/>
      </rPr>
      <t xml:space="preserve">回传的闭环功能在</t>
    </r>
    <r>
      <rPr>
        <sz val="10"/>
        <rFont val="Arial"/>
        <family val="0"/>
        <charset val="1"/>
      </rPr>
      <t xml:space="preserve">3.1</t>
    </r>
    <r>
      <rPr>
        <sz val="10"/>
        <rFont val="Arial Unicode MS"/>
        <family val="2"/>
        <charset val="1"/>
      </rPr>
      <t xml:space="preserve">『掌上机抄表管理』模块提及但全文未详述（见</t>
    </r>
    <r>
      <rPr>
        <sz val="10"/>
        <rFont val="Arial"/>
        <family val="0"/>
        <charset val="1"/>
      </rPr>
      <t xml:space="preserve">expansion</t>
    </r>
    <r>
      <rPr>
        <sz val="10"/>
        <rFont val="Arial Unicode MS"/>
        <family val="2"/>
        <charset val="1"/>
      </rPr>
      <t xml:space="preserve">），本节仅覆盖导入侧。</t>
    </r>
  </si>
  <si>
    <t xml:space="preserve">M8</t>
  </si>
  <si>
    <t xml:space="preserve">外部接口</t>
  </si>
  <si>
    <t xml:space="preserve">FR-8.1</t>
  </si>
  <si>
    <t xml:space="preserve">按户号查询缴费单</t>
  </si>
  <si>
    <t xml:space="preserve">5.2.1</t>
  </si>
  <si>
    <r>
      <rPr>
        <sz val="10"/>
        <rFont val="Arial Unicode MS"/>
        <family val="2"/>
        <charset val="1"/>
      </rPr>
      <t xml:space="preserve">供银行</t>
    </r>
    <r>
      <rPr>
        <sz val="10"/>
        <rFont val="Arial"/>
        <family val="0"/>
        <charset val="1"/>
      </rPr>
      <t xml:space="preserve">/</t>
    </r>
    <r>
      <rPr>
        <sz val="10"/>
        <rFont val="Arial Unicode MS"/>
        <family val="2"/>
        <charset val="1"/>
      </rPr>
      <t xml:space="preserve">第三方渠道按户号实时查询用户欠费缴费单的</t>
    </r>
    <r>
      <rPr>
        <sz val="10"/>
        <rFont val="Arial"/>
        <family val="0"/>
        <charset val="1"/>
      </rPr>
      <t xml:space="preserve">HTTP</t>
    </r>
    <r>
      <rPr>
        <sz val="10"/>
        <rFont val="Arial Unicode MS"/>
        <family val="2"/>
        <charset val="1"/>
      </rPr>
      <t xml:space="preserve">接口。平台校验</t>
    </r>
    <r>
      <rPr>
        <sz val="10"/>
        <rFont val="Arial"/>
        <family val="0"/>
        <charset val="1"/>
      </rPr>
      <t xml:space="preserve">bankentityno</t>
    </r>
    <r>
      <rPr>
        <sz val="10"/>
        <rFont val="Arial Unicode MS"/>
        <family val="2"/>
        <charset val="1"/>
      </rPr>
      <t xml:space="preserve">（银行实体编号，由平台分配，如</t>
    </r>
    <r>
      <rPr>
        <sz val="10"/>
        <rFont val="Arial"/>
        <family val="0"/>
        <charset val="1"/>
      </rPr>
      <t xml:space="preserve">GH=</t>
    </r>
    <r>
      <rPr>
        <sz val="10"/>
        <rFont val="Arial Unicode MS"/>
        <family val="2"/>
        <charset val="1"/>
      </rPr>
      <t xml:space="preserve">工商银行）合法性后，按</t>
    </r>
    <r>
      <rPr>
        <sz val="10"/>
        <rFont val="Arial"/>
        <family val="0"/>
        <charset val="1"/>
      </rPr>
      <t xml:space="preserve">accno</t>
    </r>
    <r>
      <rPr>
        <sz val="10"/>
        <rFont val="Arial Unicode MS"/>
        <family val="2"/>
        <charset val="1"/>
      </rPr>
      <t xml:space="preserve">（户号，水表唯一编号）查询用户档案与全部未缴账单，汇总返回：户名、地址、欠费笔数</t>
    </r>
    <r>
      <rPr>
        <sz val="10"/>
        <rFont val="Arial"/>
        <family val="0"/>
        <charset val="1"/>
      </rPr>
      <t xml:space="preserve">billcount</t>
    </r>
    <r>
      <rPr>
        <sz val="10"/>
        <rFont val="Arial Unicode MS"/>
        <family val="2"/>
        <charset val="1"/>
      </rPr>
      <t xml:space="preserve">、欠费总额</t>
    </r>
    <r>
      <rPr>
        <sz val="10"/>
        <rFont val="Arial"/>
        <family val="0"/>
        <charset val="1"/>
      </rPr>
      <t xml:space="preserve">billamount</t>
    </r>
    <r>
      <rPr>
        <sz val="10"/>
        <rFont val="Arial Unicode MS"/>
        <family val="2"/>
        <charset val="1"/>
      </rPr>
      <t xml:space="preserve">、应收金额</t>
    </r>
    <r>
      <rPr>
        <sz val="10"/>
        <rFont val="Arial"/>
        <family val="0"/>
        <charset val="1"/>
      </rPr>
      <t xml:space="preserve">rcvblamount</t>
    </r>
    <r>
      <rPr>
        <sz val="10"/>
        <rFont val="Arial Unicode MS"/>
        <family val="2"/>
        <charset val="1"/>
      </rPr>
      <t xml:space="preserve">、已收金额</t>
    </r>
    <r>
      <rPr>
        <sz val="10"/>
        <rFont val="Arial"/>
        <family val="0"/>
        <charset val="1"/>
      </rPr>
      <t xml:space="preserve">rcvedamount</t>
    </r>
    <r>
      <rPr>
        <sz val="10"/>
        <rFont val="Arial Unicode MS"/>
        <family val="2"/>
        <charset val="1"/>
      </rPr>
      <t xml:space="preserve">、滞纳金</t>
    </r>
    <r>
      <rPr>
        <sz val="10"/>
        <rFont val="Arial"/>
        <family val="0"/>
        <charset val="1"/>
      </rPr>
      <t xml:space="preserve">latefee</t>
    </r>
    <r>
      <rPr>
        <sz val="10"/>
        <rFont val="Arial Unicode MS"/>
        <family val="2"/>
        <charset val="1"/>
      </rPr>
      <t xml:space="preserve">（按查询当日计算）、预存余额</t>
    </r>
    <r>
      <rPr>
        <sz val="10"/>
        <rFont val="Arial"/>
        <family val="0"/>
        <charset val="1"/>
      </rPr>
      <t xml:space="preserve">prepayamount</t>
    </r>
    <r>
      <rPr>
        <sz val="10"/>
        <rFont val="Arial Unicode MS"/>
        <family val="2"/>
        <charset val="1"/>
      </rPr>
      <t xml:space="preserve">，并生成本次查询的平台欠费查询流水号</t>
    </r>
    <r>
      <rPr>
        <sz val="10"/>
        <rFont val="Arial"/>
        <family val="0"/>
        <charset val="1"/>
      </rPr>
      <t xml:space="preserve">pyqbillid——</t>
    </r>
    <r>
      <rPr>
        <sz val="10"/>
        <rFont val="Arial Unicode MS"/>
        <family val="2"/>
        <charset val="1"/>
      </rPr>
      <t xml:space="preserve">该流水号是后续销账接口（</t>
    </r>
    <r>
      <rPr>
        <sz val="10"/>
        <rFont val="Arial"/>
        <family val="0"/>
        <charset val="1"/>
      </rPr>
      <t xml:space="preserve">FR-8.2</t>
    </r>
    <r>
      <rPr>
        <sz val="10"/>
        <rFont val="Arial Unicode MS"/>
        <family val="2"/>
        <charset val="1"/>
      </rPr>
      <t xml:space="preserve">）锁定账单快照的关键，用于解决跨天滞纳金变化与新增欠费导致的销账失败问题。金额单位统一为分（与销账接口口径一致）。</t>
    </r>
  </si>
  <si>
    <r>
      <rPr>
        <sz val="10"/>
        <rFont val="Arial"/>
        <family val="0"/>
        <charset val="1"/>
      </rPr>
      <t xml:space="preserve">accno</t>
    </r>
    <r>
      <rPr>
        <sz val="10"/>
        <rFont val="Arial Unicode MS"/>
        <family val="2"/>
        <charset val="1"/>
      </rPr>
      <t xml:space="preserve">（</t>
    </r>
    <r>
      <rPr>
        <sz val="10"/>
        <rFont val="Arial"/>
        <family val="0"/>
        <charset val="1"/>
      </rPr>
      <t xml:space="preserve">string</t>
    </r>
    <r>
      <rPr>
        <sz val="10"/>
        <rFont val="Arial Unicode MS"/>
        <family val="2"/>
        <charset val="1"/>
      </rPr>
      <t xml:space="preserve">，</t>
    </r>
    <r>
      <rPr>
        <sz val="10"/>
        <rFont val="Arial"/>
        <family val="0"/>
        <charset val="1"/>
      </rPr>
      <t xml:space="preserve">20</t>
    </r>
    <r>
      <rPr>
        <sz val="10"/>
        <rFont val="Arial Unicode MS"/>
        <family val="2"/>
        <charset val="1"/>
      </rPr>
      <t xml:space="preserve">，必填，户号）；</t>
    </r>
    <r>
      <rPr>
        <sz val="10"/>
        <rFont val="Arial"/>
        <family val="0"/>
        <charset val="1"/>
      </rPr>
      <t xml:space="preserve">bankentityno</t>
    </r>
    <r>
      <rPr>
        <sz val="10"/>
        <rFont val="Arial Unicode MS"/>
        <family val="2"/>
        <charset val="1"/>
      </rPr>
      <t xml:space="preserve">（</t>
    </r>
    <r>
      <rPr>
        <sz val="10"/>
        <rFont val="Arial"/>
        <family val="0"/>
        <charset val="1"/>
      </rPr>
      <t xml:space="preserve">string</t>
    </r>
    <r>
      <rPr>
        <sz val="10"/>
        <rFont val="Arial Unicode MS"/>
        <family val="2"/>
        <charset val="1"/>
      </rPr>
      <t xml:space="preserve">，</t>
    </r>
    <r>
      <rPr>
        <sz val="10"/>
        <rFont val="Arial"/>
        <family val="0"/>
        <charset val="1"/>
      </rPr>
      <t xml:space="preserve">10</t>
    </r>
    <r>
      <rPr>
        <sz val="10"/>
        <rFont val="Arial Unicode MS"/>
        <family val="2"/>
        <charset val="1"/>
      </rPr>
      <t xml:space="preserve">，必填，银行实体编号）</t>
    </r>
  </si>
  <si>
    <r>
      <rPr>
        <sz val="10"/>
        <rFont val="Arial"/>
        <family val="0"/>
        <charset val="1"/>
      </rPr>
      <t xml:space="preserve">code</t>
    </r>
    <r>
      <rPr>
        <sz val="10"/>
        <rFont val="Arial Unicode MS"/>
        <family val="2"/>
        <charset val="1"/>
      </rPr>
      <t xml:space="preserve">（结果码，</t>
    </r>
    <r>
      <rPr>
        <sz val="10"/>
        <rFont val="Arial"/>
        <family val="0"/>
        <charset val="1"/>
      </rPr>
      <t xml:space="preserve">1=</t>
    </r>
    <r>
      <rPr>
        <sz val="10"/>
        <rFont val="Arial Unicode MS"/>
        <family val="2"/>
        <charset val="1"/>
      </rPr>
      <t xml:space="preserve">成功）；</t>
    </r>
    <r>
      <rPr>
        <sz val="10"/>
        <rFont val="Arial"/>
        <family val="0"/>
        <charset val="1"/>
      </rPr>
      <t xml:space="preserve">msg</t>
    </r>
    <r>
      <rPr>
        <sz val="10"/>
        <rFont val="Arial Unicode MS"/>
        <family val="2"/>
        <charset val="1"/>
      </rPr>
      <t xml:space="preserve">（结果说明）；</t>
    </r>
    <r>
      <rPr>
        <sz val="10"/>
        <rFont val="Arial"/>
        <family val="0"/>
        <charset val="1"/>
      </rPr>
      <t xml:space="preserve">data</t>
    </r>
    <r>
      <rPr>
        <sz val="10"/>
        <rFont val="Arial Unicode MS"/>
        <family val="2"/>
        <charset val="1"/>
      </rPr>
      <t xml:space="preserve">数组：</t>
    </r>
    <r>
      <rPr>
        <sz val="10"/>
        <rFont val="Arial"/>
        <family val="0"/>
        <charset val="1"/>
      </rPr>
      <t xml:space="preserve">bankentityno</t>
    </r>
    <r>
      <rPr>
        <sz val="10"/>
        <rFont val="Arial Unicode MS"/>
        <family val="2"/>
        <charset val="1"/>
      </rPr>
      <t xml:space="preserve">、</t>
    </r>
    <r>
      <rPr>
        <sz val="10"/>
        <rFont val="Arial"/>
        <family val="0"/>
        <charset val="1"/>
      </rPr>
      <t xml:space="preserve">accno</t>
    </r>
    <r>
      <rPr>
        <sz val="10"/>
        <rFont val="Arial Unicode MS"/>
        <family val="2"/>
        <charset val="1"/>
      </rPr>
      <t xml:space="preserve">、</t>
    </r>
    <r>
      <rPr>
        <sz val="10"/>
        <rFont val="Arial"/>
        <family val="0"/>
        <charset val="1"/>
      </rPr>
      <t xml:space="preserve">name</t>
    </r>
    <r>
      <rPr>
        <sz val="10"/>
        <rFont val="Arial Unicode MS"/>
        <family val="2"/>
        <charset val="1"/>
      </rPr>
      <t xml:space="preserve">、</t>
    </r>
    <r>
      <rPr>
        <sz val="10"/>
        <rFont val="Arial"/>
        <family val="0"/>
        <charset val="1"/>
      </rPr>
      <t xml:space="preserve">address</t>
    </r>
    <r>
      <rPr>
        <sz val="10"/>
        <rFont val="Arial Unicode MS"/>
        <family val="2"/>
        <charset val="1"/>
      </rPr>
      <t xml:space="preserve">、</t>
    </r>
    <r>
      <rPr>
        <sz val="10"/>
        <rFont val="Arial"/>
        <family val="0"/>
        <charset val="1"/>
      </rPr>
      <t xml:space="preserve">billcount</t>
    </r>
    <r>
      <rPr>
        <sz val="10"/>
        <rFont val="Arial Unicode MS"/>
        <family val="2"/>
        <charset val="1"/>
      </rPr>
      <t xml:space="preserve">、</t>
    </r>
    <r>
      <rPr>
        <sz val="10"/>
        <rFont val="Arial"/>
        <family val="0"/>
        <charset val="1"/>
      </rPr>
      <t xml:space="preserve">billamount</t>
    </r>
    <r>
      <rPr>
        <sz val="10"/>
        <rFont val="Arial Unicode MS"/>
        <family val="2"/>
        <charset val="1"/>
      </rPr>
      <t xml:space="preserve">、</t>
    </r>
    <r>
      <rPr>
        <sz val="10"/>
        <rFont val="Arial"/>
        <family val="0"/>
        <charset val="1"/>
      </rPr>
      <t xml:space="preserve">rcvblamount</t>
    </r>
    <r>
      <rPr>
        <sz val="10"/>
        <rFont val="Arial Unicode MS"/>
        <family val="2"/>
        <charset val="1"/>
      </rPr>
      <t xml:space="preserve">、</t>
    </r>
    <r>
      <rPr>
        <sz val="10"/>
        <rFont val="Arial"/>
        <family val="0"/>
        <charset val="1"/>
      </rPr>
      <t xml:space="preserve">rcvedamount</t>
    </r>
    <r>
      <rPr>
        <sz val="10"/>
        <rFont val="Arial Unicode MS"/>
        <family val="2"/>
        <charset val="1"/>
      </rPr>
      <t xml:space="preserve">、</t>
    </r>
    <r>
      <rPr>
        <sz val="10"/>
        <rFont val="Arial"/>
        <family val="0"/>
        <charset val="1"/>
      </rPr>
      <t xml:space="preserve">latefee</t>
    </r>
    <r>
      <rPr>
        <sz val="10"/>
        <rFont val="Arial Unicode MS"/>
        <family val="2"/>
        <charset val="1"/>
      </rPr>
      <t xml:space="preserve">、</t>
    </r>
    <r>
      <rPr>
        <sz val="10"/>
        <rFont val="Arial"/>
        <family val="0"/>
        <charset val="1"/>
      </rPr>
      <t xml:space="preserve">prepayamount</t>
    </r>
    <r>
      <rPr>
        <sz val="10"/>
        <rFont val="Arial Unicode MS"/>
        <family val="2"/>
        <charset val="1"/>
      </rPr>
      <t xml:space="preserve">、</t>
    </r>
    <r>
      <rPr>
        <sz val="10"/>
        <rFont val="Arial"/>
        <family val="0"/>
        <charset val="1"/>
      </rPr>
      <t xml:space="preserve">pyqbillid</t>
    </r>
    <r>
      <rPr>
        <sz val="10"/>
        <rFont val="Arial Unicode MS"/>
        <family val="2"/>
        <charset val="1"/>
      </rPr>
      <t xml:space="preserve">、</t>
    </r>
    <r>
      <rPr>
        <sz val="10"/>
        <rFont val="Arial"/>
        <family val="0"/>
        <charset val="1"/>
      </rPr>
      <t xml:space="preserve">extend</t>
    </r>
  </si>
  <si>
    <r>
      <rPr>
        <sz val="10"/>
        <rFont val="Arial Unicode MS"/>
        <family val="2"/>
        <charset val="1"/>
      </rPr>
      <t xml:space="preserve">有欠费、无欠费、户号不存在、银行编号非法四种场景分别返回约定的</t>
    </r>
    <r>
      <rPr>
        <sz val="10"/>
        <rFont val="Arial"/>
        <family val="0"/>
        <charset val="1"/>
      </rPr>
      <t xml:space="preserve">code/msg
</t>
    </r>
    <r>
      <rPr>
        <sz val="10"/>
        <rFont val="Arial Unicode MS"/>
        <family val="2"/>
        <charset val="1"/>
      </rPr>
      <t xml:space="preserve">同一户号每次查询生成的</t>
    </r>
    <r>
      <rPr>
        <sz val="10"/>
        <rFont val="Arial"/>
        <family val="0"/>
        <charset val="1"/>
      </rPr>
      <t xml:space="preserve">pyqbillid</t>
    </r>
    <r>
      <rPr>
        <sz val="10"/>
        <rFont val="Arial Unicode MS"/>
        <family val="2"/>
        <charset val="1"/>
      </rPr>
      <t xml:space="preserve">唯一且可追溯到当次金额快照
接口响应时间满足非功能要求（在线实时查询低于</t>
    </r>
    <r>
      <rPr>
        <sz val="10"/>
        <rFont val="Arial"/>
        <family val="0"/>
        <charset val="1"/>
      </rPr>
      <t xml:space="preserve">3</t>
    </r>
    <r>
      <rPr>
        <sz val="10"/>
        <rFont val="Arial Unicode MS"/>
        <family val="2"/>
        <charset val="1"/>
      </rPr>
      <t xml:space="preserve">秒）</t>
    </r>
  </si>
  <si>
    <r>
      <rPr>
        <sz val="10"/>
        <rFont val="Arial"/>
        <family val="0"/>
        <charset val="1"/>
      </rPr>
      <t xml:space="preserve">SRS</t>
    </r>
    <r>
      <rPr>
        <sz val="10"/>
        <rFont val="Arial Unicode MS"/>
        <family val="2"/>
        <charset val="1"/>
      </rPr>
      <t xml:space="preserve">未给出接口优先级，按代收核心链路补记为</t>
    </r>
    <r>
      <rPr>
        <sz val="10"/>
        <rFont val="Arial"/>
        <family val="0"/>
        <charset val="1"/>
      </rPr>
      <t xml:space="preserve">1</t>
    </r>
    <r>
      <rPr>
        <sz val="10"/>
        <rFont val="Arial Unicode MS"/>
        <family val="2"/>
        <charset val="1"/>
      </rPr>
      <t xml:space="preserve">；出参金额单位未标注（销账接口标注『金额分』，推断一致）；错误码表、</t>
    </r>
    <r>
      <rPr>
        <sz val="10"/>
        <rFont val="Arial"/>
        <family val="0"/>
        <charset val="1"/>
      </rPr>
      <t xml:space="preserve">pyqbillid</t>
    </r>
    <r>
      <rPr>
        <sz val="10"/>
        <rFont val="Arial Unicode MS"/>
        <family val="2"/>
        <charset val="1"/>
      </rPr>
      <t xml:space="preserve">有效期、查询频率限制均未定义，需接口联调规范补充；</t>
    </r>
    <r>
      <rPr>
        <sz val="10"/>
        <rFont val="Arial"/>
        <family val="0"/>
        <charset val="1"/>
      </rPr>
      <t xml:space="preserve">5.2</t>
    </r>
    <r>
      <rPr>
        <sz val="10"/>
        <rFont val="Arial Unicode MS"/>
        <family val="2"/>
        <charset val="1"/>
      </rPr>
      <t xml:space="preserve">导言提到『销账冲红』功能但未提供对应接口定义。</t>
    </r>
  </si>
  <si>
    <t xml:space="preserve">FR-8.2</t>
  </si>
  <si>
    <t xml:space="preserve">缴费单销账</t>
  </si>
  <si>
    <t xml:space="preserve">5.2.2</t>
  </si>
  <si>
    <r>
      <rPr>
        <sz val="10"/>
        <rFont val="Arial Unicode MS"/>
        <family val="2"/>
        <charset val="1"/>
      </rPr>
      <t xml:space="preserve">银行完成收款后调用的销账接口。核心规则：</t>
    </r>
    <r>
      <rPr>
        <sz val="10"/>
        <rFont val="Arial"/>
        <family val="0"/>
        <charset val="1"/>
      </rPr>
      <t xml:space="preserve">(1) bankno</t>
    </r>
    <r>
      <rPr>
        <sz val="10"/>
        <rFont val="Arial Unicode MS"/>
        <family val="2"/>
        <charset val="1"/>
      </rPr>
      <t xml:space="preserve">（银行进账流水号）作为缴费、冲正、对账的唯一凭证，不能重复——平台以其做幂等控制，重复请求返回原销账结果而不重复记账；</t>
    </r>
    <r>
      <rPr>
        <sz val="10"/>
        <rFont val="Arial"/>
        <family val="0"/>
        <charset val="1"/>
      </rPr>
      <t xml:space="preserve">(2) pyqbillid</t>
    </r>
    <r>
      <rPr>
        <sz val="10"/>
        <rFont val="Arial Unicode MS"/>
        <family val="2"/>
        <charset val="1"/>
      </rPr>
      <t xml:space="preserve">（平台欠费查询流水号）新开发银行端程序必须提供，提供后平台按查询时点的账单金额快照锁定销账，解决『跨天滞纳金变化导致销账不成功』和『用户新增欠费导致销账不成功』两个棘手问题；提供</t>
    </r>
    <r>
      <rPr>
        <sz val="10"/>
        <rFont val="Arial"/>
        <family val="0"/>
        <charset val="1"/>
      </rPr>
      <t xml:space="preserve">pyqbillid</t>
    </r>
    <r>
      <rPr>
        <sz val="10"/>
        <rFont val="Arial Unicode MS"/>
        <family val="2"/>
        <charset val="1"/>
      </rPr>
      <t xml:space="preserve">时</t>
    </r>
    <r>
      <rPr>
        <sz val="10"/>
        <rFont val="Arial"/>
        <family val="0"/>
        <charset val="1"/>
      </rPr>
      <t xml:space="preserve">accno</t>
    </r>
    <r>
      <rPr>
        <sz val="10"/>
        <rFont val="Arial Unicode MS"/>
        <family val="2"/>
        <charset val="1"/>
      </rPr>
      <t xml:space="preserve">可不传；</t>
    </r>
    <r>
      <rPr>
        <sz val="10"/>
        <rFont val="Arial"/>
        <family val="0"/>
        <charset val="1"/>
      </rPr>
      <t xml:space="preserve">(3) payamount</t>
    </r>
    <r>
      <rPr>
        <sz val="10"/>
        <rFont val="Arial Unicode MS"/>
        <family val="2"/>
        <charset val="1"/>
      </rPr>
      <t xml:space="preserve">（用户实际缴费金额，分）须与</t>
    </r>
    <r>
      <rPr>
        <sz val="10"/>
        <rFont val="Arial"/>
        <family val="0"/>
        <charset val="1"/>
      </rPr>
      <t xml:space="preserve">billamount</t>
    </r>
    <r>
      <rPr>
        <sz val="10"/>
        <rFont val="Arial Unicode MS"/>
        <family val="2"/>
        <charset val="1"/>
      </rPr>
      <t xml:space="preserve">（欠费查询时返回的应缴金额，分）比对，不一致则拒绝销账要求重新查询。销账成功后平台核销对应账单、生成平台销账流水</t>
    </r>
    <r>
      <rPr>
        <sz val="10"/>
        <rFont val="Arial"/>
        <family val="0"/>
        <charset val="1"/>
      </rPr>
      <t xml:space="preserve">pychargeid</t>
    </r>
    <r>
      <rPr>
        <sz val="10"/>
        <rFont val="Arial Unicode MS"/>
        <family val="2"/>
        <charset val="1"/>
      </rPr>
      <t xml:space="preserve">返回银行，流水记录</t>
    </r>
    <r>
      <rPr>
        <sz val="10"/>
        <rFont val="Arial"/>
        <family val="0"/>
        <charset val="1"/>
      </rPr>
      <t xml:space="preserve">paydate</t>
    </r>
    <r>
      <rPr>
        <sz val="10"/>
        <rFont val="Arial Unicode MS"/>
        <family val="2"/>
        <charset val="1"/>
      </rPr>
      <t xml:space="preserve">（银行账务日期</t>
    </r>
    <r>
      <rPr>
        <sz val="10"/>
        <rFont val="Arial"/>
        <family val="0"/>
        <charset val="1"/>
      </rPr>
      <t xml:space="preserve">yyyyMMdd</t>
    </r>
    <r>
      <rPr>
        <sz val="10"/>
        <rFont val="Arial Unicode MS"/>
        <family val="2"/>
        <charset val="1"/>
      </rPr>
      <t xml:space="preserve">）与</t>
    </r>
    <r>
      <rPr>
        <sz val="10"/>
        <rFont val="Arial"/>
        <family val="0"/>
        <charset val="1"/>
      </rPr>
      <t xml:space="preserve">opername</t>
    </r>
    <r>
      <rPr>
        <sz val="10"/>
        <rFont val="Arial Unicode MS"/>
        <family val="2"/>
        <charset val="1"/>
      </rPr>
      <t xml:space="preserve">（银行操作员）备对账。</t>
    </r>
  </si>
  <si>
    <r>
      <rPr>
        <sz val="10"/>
        <rFont val="Arial"/>
        <family val="0"/>
        <charset val="1"/>
      </rPr>
      <t xml:space="preserve">bankentityno</t>
    </r>
    <r>
      <rPr>
        <sz val="10"/>
        <rFont val="Arial Unicode MS"/>
        <family val="2"/>
        <charset val="1"/>
      </rPr>
      <t xml:space="preserve">（</t>
    </r>
    <r>
      <rPr>
        <sz val="10"/>
        <rFont val="Arial"/>
        <family val="0"/>
        <charset val="1"/>
      </rPr>
      <t xml:space="preserve">string</t>
    </r>
    <r>
      <rPr>
        <sz val="10"/>
        <rFont val="Arial Unicode MS"/>
        <family val="2"/>
        <charset val="1"/>
      </rPr>
      <t xml:space="preserve">，</t>
    </r>
    <r>
      <rPr>
        <sz val="10"/>
        <rFont val="Arial"/>
        <family val="0"/>
        <charset val="1"/>
      </rPr>
      <t xml:space="preserve">10</t>
    </r>
    <r>
      <rPr>
        <sz val="10"/>
        <rFont val="Arial Unicode MS"/>
        <family val="2"/>
        <charset val="1"/>
      </rPr>
      <t xml:space="preserve">，必填）；</t>
    </r>
    <r>
      <rPr>
        <sz val="10"/>
        <rFont val="Arial"/>
        <family val="0"/>
        <charset val="1"/>
      </rPr>
      <t xml:space="preserve">accno</t>
    </r>
    <r>
      <rPr>
        <sz val="10"/>
        <rFont val="Arial Unicode MS"/>
        <family val="2"/>
        <charset val="1"/>
      </rPr>
      <t xml:space="preserve">（</t>
    </r>
    <r>
      <rPr>
        <sz val="10"/>
        <rFont val="Arial"/>
        <family val="0"/>
        <charset val="1"/>
      </rPr>
      <t xml:space="preserve">string</t>
    </r>
    <r>
      <rPr>
        <sz val="10"/>
        <rFont val="Arial Unicode MS"/>
        <family val="2"/>
        <charset val="1"/>
      </rPr>
      <t xml:space="preserve">，</t>
    </r>
    <r>
      <rPr>
        <sz val="10"/>
        <rFont val="Arial"/>
        <family val="0"/>
        <charset val="1"/>
      </rPr>
      <t xml:space="preserve">20</t>
    </r>
    <r>
      <rPr>
        <sz val="10"/>
        <rFont val="Arial Unicode MS"/>
        <family val="2"/>
        <charset val="1"/>
      </rPr>
      <t xml:space="preserve">，条件必填：提供</t>
    </r>
    <r>
      <rPr>
        <sz val="10"/>
        <rFont val="Arial"/>
        <family val="0"/>
        <charset val="1"/>
      </rPr>
      <t xml:space="preserve">pyqbillid</t>
    </r>
    <r>
      <rPr>
        <sz val="10"/>
        <rFont val="Arial Unicode MS"/>
        <family val="2"/>
        <charset val="1"/>
      </rPr>
      <t xml:space="preserve">时可不填）；</t>
    </r>
    <r>
      <rPr>
        <sz val="10"/>
        <rFont val="Arial"/>
        <family val="0"/>
        <charset val="1"/>
      </rPr>
      <t xml:space="preserve">pyqbillid</t>
    </r>
    <r>
      <rPr>
        <sz val="10"/>
        <rFont val="Arial Unicode MS"/>
        <family val="2"/>
        <charset val="1"/>
      </rPr>
      <t xml:space="preserve">（</t>
    </r>
    <r>
      <rPr>
        <sz val="10"/>
        <rFont val="Arial"/>
        <family val="0"/>
        <charset val="1"/>
      </rPr>
      <t xml:space="preserve">string</t>
    </r>
    <r>
      <rPr>
        <sz val="10"/>
        <rFont val="Arial Unicode MS"/>
        <family val="2"/>
        <charset val="1"/>
      </rPr>
      <t xml:space="preserve">，</t>
    </r>
    <r>
      <rPr>
        <sz val="10"/>
        <rFont val="Arial"/>
        <family val="0"/>
        <charset val="1"/>
      </rPr>
      <t xml:space="preserve">40</t>
    </r>
    <r>
      <rPr>
        <sz val="10"/>
        <rFont val="Arial Unicode MS"/>
        <family val="2"/>
        <charset val="1"/>
      </rPr>
      <t xml:space="preserve">，选填，新开发银行端必须提供）；</t>
    </r>
    <r>
      <rPr>
        <sz val="10"/>
        <rFont val="Arial"/>
        <family val="0"/>
        <charset val="1"/>
      </rPr>
      <t xml:space="preserve">bankno</t>
    </r>
    <r>
      <rPr>
        <sz val="10"/>
        <rFont val="Arial Unicode MS"/>
        <family val="2"/>
        <charset val="1"/>
      </rPr>
      <t xml:space="preserve">（</t>
    </r>
    <r>
      <rPr>
        <sz val="10"/>
        <rFont val="Arial"/>
        <family val="0"/>
        <charset val="1"/>
      </rPr>
      <t xml:space="preserve">string</t>
    </r>
    <r>
      <rPr>
        <sz val="10"/>
        <rFont val="Arial Unicode MS"/>
        <family val="2"/>
        <charset val="1"/>
      </rPr>
      <t xml:space="preserve">，</t>
    </r>
    <r>
      <rPr>
        <sz val="10"/>
        <rFont val="Arial"/>
        <family val="0"/>
        <charset val="1"/>
      </rPr>
      <t xml:space="preserve">40</t>
    </r>
    <r>
      <rPr>
        <sz val="10"/>
        <rFont val="Arial Unicode MS"/>
        <family val="2"/>
        <charset val="1"/>
      </rPr>
      <t xml:space="preserve">，必填，银行进账流水号，不能重复）；</t>
    </r>
    <r>
      <rPr>
        <sz val="10"/>
        <rFont val="Arial"/>
        <family val="0"/>
        <charset val="1"/>
      </rPr>
      <t xml:space="preserve">paydate</t>
    </r>
    <r>
      <rPr>
        <sz val="10"/>
        <rFont val="Arial Unicode MS"/>
        <family val="2"/>
        <charset val="1"/>
      </rPr>
      <t xml:space="preserve">（</t>
    </r>
    <r>
      <rPr>
        <sz val="10"/>
        <rFont val="Arial"/>
        <family val="0"/>
        <charset val="1"/>
      </rPr>
      <t xml:space="preserve">string</t>
    </r>
    <r>
      <rPr>
        <sz val="10"/>
        <rFont val="Arial Unicode MS"/>
        <family val="2"/>
        <charset val="1"/>
      </rPr>
      <t xml:space="preserve">，</t>
    </r>
    <r>
      <rPr>
        <sz val="10"/>
        <rFont val="Arial"/>
        <family val="0"/>
        <charset val="1"/>
      </rPr>
      <t xml:space="preserve">8</t>
    </r>
    <r>
      <rPr>
        <sz val="10"/>
        <rFont val="Arial Unicode MS"/>
        <family val="2"/>
        <charset val="1"/>
      </rPr>
      <t xml:space="preserve">，必填，</t>
    </r>
    <r>
      <rPr>
        <sz val="10"/>
        <rFont val="Arial"/>
        <family val="0"/>
        <charset val="1"/>
      </rPr>
      <t xml:space="preserve">yyyyMMdd</t>
    </r>
    <r>
      <rPr>
        <sz val="10"/>
        <rFont val="Arial Unicode MS"/>
        <family val="2"/>
        <charset val="1"/>
      </rPr>
      <t xml:space="preserve">）；</t>
    </r>
    <r>
      <rPr>
        <sz val="10"/>
        <rFont val="Arial"/>
        <family val="0"/>
        <charset val="1"/>
      </rPr>
      <t xml:space="preserve">payamount</t>
    </r>
    <r>
      <rPr>
        <sz val="10"/>
        <rFont val="Arial Unicode MS"/>
        <family val="2"/>
        <charset val="1"/>
      </rPr>
      <t xml:space="preserve">（金额分，必填，实际缴费金额）；</t>
    </r>
    <r>
      <rPr>
        <sz val="10"/>
        <rFont val="Arial"/>
        <family val="0"/>
        <charset val="1"/>
      </rPr>
      <t xml:space="preserve">opername</t>
    </r>
    <r>
      <rPr>
        <sz val="10"/>
        <rFont val="Arial Unicode MS"/>
        <family val="2"/>
        <charset val="1"/>
      </rPr>
      <t xml:space="preserve">（</t>
    </r>
    <r>
      <rPr>
        <sz val="10"/>
        <rFont val="Arial"/>
        <family val="0"/>
        <charset val="1"/>
      </rPr>
      <t xml:space="preserve">string</t>
    </r>
    <r>
      <rPr>
        <sz val="10"/>
        <rFont val="Arial Unicode MS"/>
        <family val="2"/>
        <charset val="1"/>
      </rPr>
      <t xml:space="preserve">，</t>
    </r>
    <r>
      <rPr>
        <sz val="10"/>
        <rFont val="Arial"/>
        <family val="0"/>
        <charset val="1"/>
      </rPr>
      <t xml:space="preserve">40</t>
    </r>
    <r>
      <rPr>
        <sz val="10"/>
        <rFont val="Arial Unicode MS"/>
        <family val="2"/>
        <charset val="1"/>
      </rPr>
      <t xml:space="preserve">，选填，银行操作员）；</t>
    </r>
    <r>
      <rPr>
        <sz val="10"/>
        <rFont val="Arial"/>
        <family val="0"/>
        <charset val="1"/>
      </rPr>
      <t xml:space="preserve">billamount</t>
    </r>
    <r>
      <rPr>
        <sz val="10"/>
        <rFont val="Arial Unicode MS"/>
        <family val="2"/>
        <charset val="1"/>
      </rPr>
      <t xml:space="preserve">（金额分，必填，查询时返回的应缴欠费金额）；</t>
    </r>
    <r>
      <rPr>
        <sz val="10"/>
        <rFont val="Arial"/>
        <family val="0"/>
        <charset val="1"/>
      </rPr>
      <t xml:space="preserve">extend</t>
    </r>
    <r>
      <rPr>
        <sz val="10"/>
        <rFont val="Arial Unicode MS"/>
        <family val="2"/>
        <charset val="1"/>
      </rPr>
      <t xml:space="preserve">（</t>
    </r>
    <r>
      <rPr>
        <sz val="10"/>
        <rFont val="Arial"/>
        <family val="0"/>
        <charset val="1"/>
      </rPr>
      <t xml:space="preserve">json</t>
    </r>
    <r>
      <rPr>
        <sz val="10"/>
        <rFont val="Arial Unicode MS"/>
        <family val="2"/>
        <charset val="1"/>
      </rPr>
      <t xml:space="preserve">串，选填）</t>
    </r>
  </si>
  <si>
    <r>
      <rPr>
        <sz val="10"/>
        <rFont val="Arial"/>
        <family val="0"/>
        <charset val="1"/>
      </rPr>
      <t xml:space="preserve">code</t>
    </r>
    <r>
      <rPr>
        <sz val="10"/>
        <rFont val="Arial Unicode MS"/>
        <family val="2"/>
        <charset val="1"/>
      </rPr>
      <t xml:space="preserve">、</t>
    </r>
    <r>
      <rPr>
        <sz val="10"/>
        <rFont val="Arial"/>
        <family val="0"/>
        <charset val="1"/>
      </rPr>
      <t xml:space="preserve">msg</t>
    </r>
    <r>
      <rPr>
        <sz val="10"/>
        <rFont val="Arial Unicode MS"/>
        <family val="2"/>
        <charset val="1"/>
      </rPr>
      <t xml:space="preserve">；</t>
    </r>
    <r>
      <rPr>
        <sz val="10"/>
        <rFont val="Arial"/>
        <family val="0"/>
        <charset val="1"/>
      </rPr>
      <t xml:space="preserve">data</t>
    </r>
    <r>
      <rPr>
        <sz val="10"/>
        <rFont val="Arial Unicode MS"/>
        <family val="2"/>
        <charset val="1"/>
      </rPr>
      <t xml:space="preserve">数组：</t>
    </r>
    <r>
      <rPr>
        <sz val="10"/>
        <rFont val="Arial"/>
        <family val="0"/>
        <charset val="1"/>
      </rPr>
      <t xml:space="preserve">bankentityno</t>
    </r>
    <r>
      <rPr>
        <sz val="10"/>
        <rFont val="Arial Unicode MS"/>
        <family val="2"/>
        <charset val="1"/>
      </rPr>
      <t xml:space="preserve">、</t>
    </r>
    <r>
      <rPr>
        <sz val="10"/>
        <rFont val="Arial"/>
        <family val="0"/>
        <charset val="1"/>
      </rPr>
      <t xml:space="preserve">accno</t>
    </r>
    <r>
      <rPr>
        <sz val="10"/>
        <rFont val="Arial Unicode MS"/>
        <family val="2"/>
        <charset val="1"/>
      </rPr>
      <t xml:space="preserve">、</t>
    </r>
    <r>
      <rPr>
        <sz val="10"/>
        <rFont val="Arial"/>
        <family val="0"/>
        <charset val="1"/>
      </rPr>
      <t xml:space="preserve">name</t>
    </r>
    <r>
      <rPr>
        <sz val="10"/>
        <rFont val="Arial Unicode MS"/>
        <family val="2"/>
        <charset val="1"/>
      </rPr>
      <t xml:space="preserve">、</t>
    </r>
    <r>
      <rPr>
        <sz val="10"/>
        <rFont val="Arial"/>
        <family val="0"/>
        <charset val="1"/>
      </rPr>
      <t xml:space="preserve">address</t>
    </r>
    <r>
      <rPr>
        <sz val="10"/>
        <rFont val="Arial Unicode MS"/>
        <family val="2"/>
        <charset val="1"/>
      </rPr>
      <t xml:space="preserve">、</t>
    </r>
    <r>
      <rPr>
        <sz val="10"/>
        <rFont val="Arial"/>
        <family val="0"/>
        <charset val="1"/>
      </rPr>
      <t xml:space="preserve">pychargeid</t>
    </r>
    <r>
      <rPr>
        <sz val="10"/>
        <rFont val="Arial Unicode MS"/>
        <family val="2"/>
        <charset val="1"/>
      </rPr>
      <t xml:space="preserve">（平台销账流水号）、</t>
    </r>
    <r>
      <rPr>
        <sz val="10"/>
        <rFont val="Arial"/>
        <family val="0"/>
        <charset val="1"/>
      </rPr>
      <t xml:space="preserve">bankno</t>
    </r>
    <r>
      <rPr>
        <sz val="10"/>
        <rFont val="Arial Unicode MS"/>
        <family val="2"/>
        <charset val="1"/>
      </rPr>
      <t xml:space="preserve">、</t>
    </r>
    <r>
      <rPr>
        <sz val="10"/>
        <rFont val="Arial"/>
        <family val="0"/>
        <charset val="1"/>
      </rPr>
      <t xml:space="preserve">paydate</t>
    </r>
    <r>
      <rPr>
        <sz val="10"/>
        <rFont val="Arial Unicode MS"/>
        <family val="2"/>
        <charset val="1"/>
      </rPr>
      <t xml:space="preserve">、</t>
    </r>
    <r>
      <rPr>
        <sz val="10"/>
        <rFont val="Arial"/>
        <family val="0"/>
        <charset val="1"/>
      </rPr>
      <t xml:space="preserve">payamount</t>
    </r>
    <r>
      <rPr>
        <sz val="10"/>
        <rFont val="Arial Unicode MS"/>
        <family val="2"/>
        <charset val="1"/>
      </rPr>
      <t xml:space="preserve">、</t>
    </r>
    <r>
      <rPr>
        <sz val="10"/>
        <rFont val="Arial"/>
        <family val="0"/>
        <charset val="1"/>
      </rPr>
      <t xml:space="preserve">extend</t>
    </r>
  </si>
  <si>
    <r>
      <rPr>
        <sz val="10"/>
        <rFont val="Arial Unicode MS"/>
        <family val="2"/>
        <charset val="1"/>
      </rPr>
      <t xml:space="preserve">同一</t>
    </r>
    <r>
      <rPr>
        <sz val="10"/>
        <rFont val="Arial"/>
        <family val="0"/>
        <charset val="1"/>
      </rPr>
      <t xml:space="preserve">bankno</t>
    </r>
    <r>
      <rPr>
        <sz val="10"/>
        <rFont val="Arial Unicode MS"/>
        <family val="2"/>
        <charset val="1"/>
      </rPr>
      <t xml:space="preserve">重复调用不产生重复销账且返回一致结果（幂等）
带</t>
    </r>
    <r>
      <rPr>
        <sz val="10"/>
        <rFont val="Arial"/>
        <family val="0"/>
        <charset val="1"/>
      </rPr>
      <t xml:space="preserve">pyqbillid</t>
    </r>
    <r>
      <rPr>
        <sz val="10"/>
        <rFont val="Arial Unicode MS"/>
        <family val="2"/>
        <charset val="1"/>
      </rPr>
      <t xml:space="preserve">的销账在跨天滞纳金变化场景下仍按查询快照成功销账
</t>
    </r>
    <r>
      <rPr>
        <sz val="10"/>
        <rFont val="Arial"/>
        <family val="0"/>
        <charset val="1"/>
      </rPr>
      <t xml:space="preserve">payamount</t>
    </r>
    <r>
      <rPr>
        <sz val="10"/>
        <rFont val="Arial Unicode MS"/>
        <family val="2"/>
        <charset val="1"/>
      </rPr>
      <t xml:space="preserve">与</t>
    </r>
    <r>
      <rPr>
        <sz val="10"/>
        <rFont val="Arial"/>
        <family val="0"/>
        <charset val="1"/>
      </rPr>
      <t xml:space="preserve">billamount</t>
    </r>
    <r>
      <rPr>
        <sz val="10"/>
        <rFont val="Arial Unicode MS"/>
        <family val="2"/>
        <charset val="1"/>
      </rPr>
      <t xml:space="preserve">不一致时销账被拒绝
销账成功后柜台</t>
    </r>
    <r>
      <rPr>
        <sz val="10"/>
        <rFont val="Arial"/>
        <family val="0"/>
        <charset val="1"/>
      </rPr>
      <t xml:space="preserve">/</t>
    </r>
    <r>
      <rPr>
        <sz val="10"/>
        <rFont val="Arial Unicode MS"/>
        <family val="2"/>
        <charset val="1"/>
      </rPr>
      <t xml:space="preserve">线上查询该户欠费同步减少</t>
    </r>
  </si>
  <si>
    <r>
      <rPr>
        <sz val="10"/>
        <rFont val="Arial"/>
        <family val="0"/>
        <charset val="1"/>
      </rPr>
      <t xml:space="preserve">SRS</t>
    </r>
    <r>
      <rPr>
        <sz val="10"/>
        <rFont val="Arial Unicode MS"/>
        <family val="2"/>
        <charset val="1"/>
      </rPr>
      <t xml:space="preserve">该节标题下『单个</t>
    </r>
    <r>
      <rPr>
        <sz val="10"/>
        <rFont val="Arial"/>
        <family val="0"/>
        <charset val="1"/>
      </rPr>
      <t xml:space="preserve">A</t>
    </r>
    <r>
      <rPr>
        <sz val="10"/>
        <rFont val="Arial Unicode MS"/>
        <family val="2"/>
        <charset val="1"/>
      </rPr>
      <t xml:space="preserve">号码新增』为通信行业文档复制残留；</t>
    </r>
    <r>
      <rPr>
        <sz val="10"/>
        <rFont val="Arial"/>
        <family val="0"/>
        <charset val="1"/>
      </rPr>
      <t xml:space="preserve">5.2</t>
    </r>
    <r>
      <rPr>
        <sz val="10"/>
        <rFont val="Arial Unicode MS"/>
        <family val="2"/>
        <charset val="1"/>
      </rPr>
      <t xml:space="preserve">导言提到『销账冲红』但未定义冲正接口的地址与参数，属接口需求缺失；快照有效期（当日有效</t>
    </r>
    <r>
      <rPr>
        <sz val="10"/>
        <rFont val="Arial"/>
        <family val="0"/>
        <charset val="1"/>
      </rPr>
      <t xml:space="preserve">/</t>
    </r>
    <r>
      <rPr>
        <sz val="10"/>
        <rFont val="Arial Unicode MS"/>
        <family val="2"/>
        <charset val="1"/>
      </rPr>
      <t xml:space="preserve">跨天失效）未明确，需联调约定。</t>
    </r>
  </si>
  <si>
    <t xml:space="preserve">FR-8.3</t>
  </si>
  <si>
    <t xml:space="preserve">对账</t>
  </si>
  <si>
    <t xml:space="preserve">5.2.3</t>
  </si>
  <si>
    <r>
      <rPr>
        <sz val="10"/>
        <rFont val="Arial Unicode MS"/>
        <family val="2"/>
        <charset val="1"/>
      </rPr>
      <t xml:space="preserve">银行日终生成代收对账文件并上传至约定目录后，调用本接口通知平台取文件对账。入参：</t>
    </r>
    <r>
      <rPr>
        <sz val="10"/>
        <rFont val="Arial"/>
        <family val="0"/>
        <charset val="1"/>
      </rPr>
      <t xml:space="preserve">bankentityno</t>
    </r>
    <r>
      <rPr>
        <sz val="10"/>
        <rFont val="Arial Unicode MS"/>
        <family val="2"/>
        <charset val="1"/>
      </rPr>
      <t xml:space="preserve">（银行实体编号）、</t>
    </r>
    <r>
      <rPr>
        <sz val="10"/>
        <rFont val="Arial"/>
        <family val="0"/>
        <charset val="1"/>
      </rPr>
      <t xml:space="preserve">filedate</t>
    </r>
    <r>
      <rPr>
        <sz val="10"/>
        <rFont val="Arial Unicode MS"/>
        <family val="2"/>
        <charset val="1"/>
      </rPr>
      <t xml:space="preserve">（对账文件日期</t>
    </r>
    <r>
      <rPr>
        <sz val="10"/>
        <rFont val="Arial"/>
        <family val="0"/>
        <charset val="1"/>
      </rPr>
      <t xml:space="preserve">yyyyMMdd</t>
    </r>
    <r>
      <rPr>
        <sz val="10"/>
        <rFont val="Arial Unicode MS"/>
        <family val="2"/>
        <charset val="1"/>
      </rPr>
      <t xml:space="preserve">）、</t>
    </r>
    <r>
      <rPr>
        <sz val="10"/>
        <rFont val="Arial"/>
        <family val="0"/>
        <charset val="1"/>
      </rPr>
      <t xml:space="preserve">filepath</t>
    </r>
    <r>
      <rPr>
        <sz val="10"/>
        <rFont val="Arial Unicode MS"/>
        <family val="2"/>
        <charset val="1"/>
      </rPr>
      <t xml:space="preserve">（对账文件存放相对路径，如</t>
    </r>
    <r>
      <rPr>
        <sz val="10"/>
        <rFont val="Arial"/>
        <family val="0"/>
        <charset val="1"/>
      </rPr>
      <t xml:space="preserve">/upload/20160829</t>
    </r>
    <r>
      <rPr>
        <sz val="10"/>
        <rFont val="Arial Unicode MS"/>
        <family val="2"/>
        <charset val="1"/>
      </rPr>
      <t xml:space="preserve">）、</t>
    </r>
    <r>
      <rPr>
        <sz val="10"/>
        <rFont val="Arial"/>
        <family val="0"/>
        <charset val="1"/>
      </rPr>
      <t xml:space="preserve">filetype</t>
    </r>
    <r>
      <rPr>
        <sz val="10"/>
        <rFont val="Arial Unicode MS"/>
        <family val="2"/>
        <charset val="1"/>
      </rPr>
      <t xml:space="preserve">（文件类型，</t>
    </r>
    <r>
      <rPr>
        <sz val="10"/>
        <rFont val="Arial"/>
        <family val="0"/>
        <charset val="1"/>
      </rPr>
      <t xml:space="preserve">DSDZ=</t>
    </r>
    <r>
      <rPr>
        <sz val="10"/>
        <rFont val="Arial Unicode MS"/>
        <family val="2"/>
        <charset val="1"/>
      </rPr>
      <t xml:space="preserve">代收对账文本）、</t>
    </r>
    <r>
      <rPr>
        <sz val="10"/>
        <rFont val="Arial"/>
        <family val="0"/>
        <charset val="1"/>
      </rPr>
      <t xml:space="preserve">extend</t>
    </r>
    <r>
      <rPr>
        <sz val="10"/>
        <rFont val="Arial Unicode MS"/>
        <family val="2"/>
        <charset val="1"/>
      </rPr>
      <t xml:space="preserve">（预留扩展）。平台收到通知后：校验渠道合法与文件可读，异步解析对账文件，按</t>
    </r>
    <r>
      <rPr>
        <sz val="10"/>
        <rFont val="Arial"/>
        <family val="0"/>
        <charset val="1"/>
      </rPr>
      <t xml:space="preserve">bankno</t>
    </r>
    <r>
      <rPr>
        <sz val="10"/>
        <rFont val="Arial Unicode MS"/>
        <family val="2"/>
        <charset val="1"/>
      </rPr>
      <t xml:space="preserve">将文件内每笔代收记录与平台渠道销账流水（</t>
    </r>
    <r>
      <rPr>
        <sz val="10"/>
        <rFont val="Arial"/>
        <family val="0"/>
        <charset val="1"/>
      </rPr>
      <t xml:space="preserve">FR-8.2</t>
    </r>
    <r>
      <rPr>
        <sz val="10"/>
        <rFont val="Arial Unicode MS"/>
        <family val="2"/>
        <charset val="1"/>
      </rPr>
      <t xml:space="preserve">）逐笔勾对，产出对账结果：平账、长款（银行有平台无）、短款（平台有银行无）、金额不符四类，差错记录进入差错处理队列（补账</t>
    </r>
    <r>
      <rPr>
        <sz val="10"/>
        <rFont val="Arial"/>
        <family val="0"/>
        <charset val="1"/>
      </rPr>
      <t xml:space="preserve">/</t>
    </r>
    <r>
      <rPr>
        <sz val="10"/>
        <rFont val="Arial Unicode MS"/>
        <family val="2"/>
        <charset val="1"/>
      </rPr>
      <t xml:space="preserve">冲正</t>
    </r>
    <r>
      <rPr>
        <sz val="10"/>
        <rFont val="Arial"/>
        <family val="0"/>
        <charset val="1"/>
      </rPr>
      <t xml:space="preserve">/</t>
    </r>
    <r>
      <rPr>
        <sz val="10"/>
        <rFont val="Arial Unicode MS"/>
        <family val="2"/>
        <charset val="1"/>
      </rPr>
      <t xml:space="preserve">人工处理），生成日对账报告供财务复核，对账平衡后确认资金划转入账。</t>
    </r>
  </si>
  <si>
    <r>
      <rPr>
        <sz val="10"/>
        <rFont val="Arial"/>
        <family val="0"/>
        <charset val="1"/>
      </rPr>
      <t xml:space="preserve">bankentityno</t>
    </r>
    <r>
      <rPr>
        <sz val="10"/>
        <rFont val="Arial Unicode MS"/>
        <family val="2"/>
        <charset val="1"/>
      </rPr>
      <t xml:space="preserve">（</t>
    </r>
    <r>
      <rPr>
        <sz val="10"/>
        <rFont val="Arial"/>
        <family val="0"/>
        <charset val="1"/>
      </rPr>
      <t xml:space="preserve">string</t>
    </r>
    <r>
      <rPr>
        <sz val="10"/>
        <rFont val="Arial Unicode MS"/>
        <family val="2"/>
        <charset val="1"/>
      </rPr>
      <t xml:space="preserve">，</t>
    </r>
    <r>
      <rPr>
        <sz val="10"/>
        <rFont val="Arial"/>
        <family val="0"/>
        <charset val="1"/>
      </rPr>
      <t xml:space="preserve">10</t>
    </r>
    <r>
      <rPr>
        <sz val="10"/>
        <rFont val="Arial Unicode MS"/>
        <family val="2"/>
        <charset val="1"/>
      </rPr>
      <t xml:space="preserve">，必填）；</t>
    </r>
    <r>
      <rPr>
        <sz val="10"/>
        <rFont val="Arial"/>
        <family val="0"/>
        <charset val="1"/>
      </rPr>
      <t xml:space="preserve">filedate</t>
    </r>
    <r>
      <rPr>
        <sz val="10"/>
        <rFont val="Arial Unicode MS"/>
        <family val="2"/>
        <charset val="1"/>
      </rPr>
      <t xml:space="preserve">（</t>
    </r>
    <r>
      <rPr>
        <sz val="10"/>
        <rFont val="Arial"/>
        <family val="0"/>
        <charset val="1"/>
      </rPr>
      <t xml:space="preserve">string</t>
    </r>
    <r>
      <rPr>
        <sz val="10"/>
        <rFont val="Arial Unicode MS"/>
        <family val="2"/>
        <charset val="1"/>
      </rPr>
      <t xml:space="preserve">，</t>
    </r>
    <r>
      <rPr>
        <sz val="10"/>
        <rFont val="Arial"/>
        <family val="0"/>
        <charset val="1"/>
      </rPr>
      <t xml:space="preserve">8</t>
    </r>
    <r>
      <rPr>
        <sz val="10"/>
        <rFont val="Arial Unicode MS"/>
        <family val="2"/>
        <charset val="1"/>
      </rPr>
      <t xml:space="preserve">，必填，</t>
    </r>
    <r>
      <rPr>
        <sz val="10"/>
        <rFont val="Arial"/>
        <family val="0"/>
        <charset val="1"/>
      </rPr>
      <t xml:space="preserve">yyyyMMdd</t>
    </r>
    <r>
      <rPr>
        <sz val="10"/>
        <rFont val="Arial Unicode MS"/>
        <family val="2"/>
        <charset val="1"/>
      </rPr>
      <t xml:space="preserve">）；</t>
    </r>
    <r>
      <rPr>
        <sz val="10"/>
        <rFont val="Arial"/>
        <family val="0"/>
        <charset val="1"/>
      </rPr>
      <t xml:space="preserve">filepath</t>
    </r>
    <r>
      <rPr>
        <sz val="10"/>
        <rFont val="Arial Unicode MS"/>
        <family val="2"/>
        <charset val="1"/>
      </rPr>
      <t xml:space="preserve">（</t>
    </r>
    <r>
      <rPr>
        <sz val="10"/>
        <rFont val="Arial"/>
        <family val="0"/>
        <charset val="1"/>
      </rPr>
      <t xml:space="preserve">string</t>
    </r>
    <r>
      <rPr>
        <sz val="10"/>
        <rFont val="Arial Unicode MS"/>
        <family val="2"/>
        <charset val="1"/>
      </rPr>
      <t xml:space="preserve">，</t>
    </r>
    <r>
      <rPr>
        <sz val="10"/>
        <rFont val="Arial"/>
        <family val="0"/>
        <charset val="1"/>
      </rPr>
      <t xml:space="preserve">128</t>
    </r>
    <r>
      <rPr>
        <sz val="10"/>
        <rFont val="Arial Unicode MS"/>
        <family val="2"/>
        <charset val="1"/>
      </rPr>
      <t xml:space="preserve">，必填，对账文件相对路径）；</t>
    </r>
    <r>
      <rPr>
        <sz val="10"/>
        <rFont val="Arial"/>
        <family val="0"/>
        <charset val="1"/>
      </rPr>
      <t xml:space="preserve">filetype</t>
    </r>
    <r>
      <rPr>
        <sz val="10"/>
        <rFont val="Arial Unicode MS"/>
        <family val="2"/>
        <charset val="1"/>
      </rPr>
      <t xml:space="preserve">（</t>
    </r>
    <r>
      <rPr>
        <sz val="10"/>
        <rFont val="Arial"/>
        <family val="0"/>
        <charset val="1"/>
      </rPr>
      <t xml:space="preserve">string</t>
    </r>
    <r>
      <rPr>
        <sz val="10"/>
        <rFont val="Arial Unicode MS"/>
        <family val="2"/>
        <charset val="1"/>
      </rPr>
      <t xml:space="preserve">，</t>
    </r>
    <r>
      <rPr>
        <sz val="10"/>
        <rFont val="Arial"/>
        <family val="0"/>
        <charset val="1"/>
      </rPr>
      <t xml:space="preserve">8</t>
    </r>
    <r>
      <rPr>
        <sz val="10"/>
        <rFont val="Arial Unicode MS"/>
        <family val="2"/>
        <charset val="1"/>
      </rPr>
      <t xml:space="preserve">，必填，</t>
    </r>
    <r>
      <rPr>
        <sz val="10"/>
        <rFont val="Arial"/>
        <family val="0"/>
        <charset val="1"/>
      </rPr>
      <t xml:space="preserve">DSDZ=</t>
    </r>
    <r>
      <rPr>
        <sz val="10"/>
        <rFont val="Arial Unicode MS"/>
        <family val="2"/>
        <charset val="1"/>
      </rPr>
      <t xml:space="preserve">代收对账文本）；</t>
    </r>
    <r>
      <rPr>
        <sz val="10"/>
        <rFont val="Arial"/>
        <family val="0"/>
        <charset val="1"/>
      </rPr>
      <t xml:space="preserve">extend</t>
    </r>
    <r>
      <rPr>
        <sz val="10"/>
        <rFont val="Arial Unicode MS"/>
        <family val="2"/>
        <charset val="1"/>
      </rPr>
      <t xml:space="preserve">（</t>
    </r>
    <r>
      <rPr>
        <sz val="10"/>
        <rFont val="Arial"/>
        <family val="0"/>
        <charset val="1"/>
      </rPr>
      <t xml:space="preserve">json</t>
    </r>
    <r>
      <rPr>
        <sz val="10"/>
        <rFont val="Arial Unicode MS"/>
        <family val="2"/>
        <charset val="1"/>
      </rPr>
      <t xml:space="preserve">串，选填，预留扩展）</t>
    </r>
  </si>
  <si>
    <r>
      <rPr>
        <sz val="10"/>
        <rFont val="Arial"/>
        <family val="0"/>
        <charset val="1"/>
      </rPr>
      <t xml:space="preserve">code</t>
    </r>
    <r>
      <rPr>
        <sz val="10"/>
        <rFont val="Arial Unicode MS"/>
        <family val="2"/>
        <charset val="1"/>
      </rPr>
      <t xml:space="preserve">、</t>
    </r>
    <r>
      <rPr>
        <sz val="10"/>
        <rFont val="Arial"/>
        <family val="0"/>
        <charset val="1"/>
      </rPr>
      <t xml:space="preserve">msg</t>
    </r>
    <r>
      <rPr>
        <sz val="10"/>
        <rFont val="Arial Unicode MS"/>
        <family val="2"/>
        <charset val="1"/>
      </rPr>
      <t xml:space="preserve">（通知受理结果）；</t>
    </r>
    <r>
      <rPr>
        <sz val="10"/>
        <rFont val="Arial"/>
        <family val="0"/>
        <charset val="1"/>
      </rPr>
      <t xml:space="preserve">data</t>
    </r>
    <r>
      <rPr>
        <sz val="10"/>
        <rFont val="Arial Unicode MS"/>
        <family val="2"/>
        <charset val="1"/>
      </rPr>
      <t xml:space="preserve">数组：</t>
    </r>
    <r>
      <rPr>
        <sz val="10"/>
        <rFont val="Arial"/>
        <family val="0"/>
        <charset val="1"/>
      </rPr>
      <t xml:space="preserve">bankentityno</t>
    </r>
    <r>
      <rPr>
        <sz val="10"/>
        <rFont val="Arial Unicode MS"/>
        <family val="2"/>
        <charset val="1"/>
      </rPr>
      <t xml:space="preserve">、</t>
    </r>
    <r>
      <rPr>
        <sz val="10"/>
        <rFont val="Arial"/>
        <family val="0"/>
        <charset val="1"/>
      </rPr>
      <t xml:space="preserve">filedate</t>
    </r>
    <r>
      <rPr>
        <sz val="10"/>
        <rFont val="Arial Unicode MS"/>
        <family val="2"/>
        <charset val="1"/>
      </rPr>
      <t xml:space="preserve">、</t>
    </r>
    <r>
      <rPr>
        <sz val="10"/>
        <rFont val="Arial"/>
        <family val="0"/>
        <charset val="1"/>
      </rPr>
      <t xml:space="preserve">filepath</t>
    </r>
    <r>
      <rPr>
        <sz val="10"/>
        <rFont val="Arial Unicode MS"/>
        <family val="2"/>
        <charset val="1"/>
      </rPr>
      <t xml:space="preserve">、</t>
    </r>
    <r>
      <rPr>
        <sz val="10"/>
        <rFont val="Arial"/>
        <family val="0"/>
        <charset val="1"/>
      </rPr>
      <t xml:space="preserve">filetype</t>
    </r>
    <r>
      <rPr>
        <sz val="10"/>
        <rFont val="Arial Unicode MS"/>
        <family val="2"/>
        <charset val="1"/>
      </rPr>
      <t xml:space="preserve">、</t>
    </r>
    <r>
      <rPr>
        <sz val="10"/>
        <rFont val="Arial"/>
        <family val="0"/>
        <charset val="1"/>
      </rPr>
      <t xml:space="preserve">extend</t>
    </r>
    <r>
      <rPr>
        <sz val="10"/>
        <rFont val="Arial Unicode MS"/>
        <family val="2"/>
        <charset val="1"/>
      </rPr>
      <t xml:space="preserve">；平台侧产物：日对账报告、差错明细队列</t>
    </r>
  </si>
  <si>
    <r>
      <rPr>
        <sz val="10"/>
        <rFont val="Arial Unicode MS"/>
        <family val="2"/>
        <charset val="1"/>
      </rPr>
      <t xml:space="preserve">对账文件总笔数</t>
    </r>
    <r>
      <rPr>
        <sz val="10"/>
        <rFont val="Arial"/>
        <family val="0"/>
        <charset val="1"/>
      </rPr>
      <t xml:space="preserve">=</t>
    </r>
    <r>
      <rPr>
        <sz val="10"/>
        <rFont val="Arial Unicode MS"/>
        <family val="2"/>
        <charset val="1"/>
      </rPr>
      <t xml:space="preserve">平账</t>
    </r>
    <r>
      <rPr>
        <sz val="10"/>
        <rFont val="Arial"/>
        <family val="0"/>
        <charset val="1"/>
      </rPr>
      <t xml:space="preserve">+</t>
    </r>
    <r>
      <rPr>
        <sz val="10"/>
        <rFont val="Arial Unicode MS"/>
        <family val="2"/>
        <charset val="1"/>
      </rPr>
      <t xml:space="preserve">长款</t>
    </r>
    <r>
      <rPr>
        <sz val="10"/>
        <rFont val="Arial"/>
        <family val="0"/>
        <charset val="1"/>
      </rPr>
      <t xml:space="preserve">+</t>
    </r>
    <r>
      <rPr>
        <sz val="10"/>
        <rFont val="Arial Unicode MS"/>
        <family val="2"/>
        <charset val="1"/>
      </rPr>
      <t xml:space="preserve">短款</t>
    </r>
    <r>
      <rPr>
        <sz val="10"/>
        <rFont val="Arial"/>
        <family val="0"/>
        <charset val="1"/>
      </rPr>
      <t xml:space="preserve">+</t>
    </r>
    <r>
      <rPr>
        <sz val="10"/>
        <rFont val="Arial Unicode MS"/>
        <family val="2"/>
        <charset val="1"/>
      </rPr>
      <t xml:space="preserve">金额不符笔数之和，账目闭合
文件不可读时返回失败且银行重传后可重新发起对账
差错记录均有处理状态跟踪直至闭环
同一</t>
    </r>
    <r>
      <rPr>
        <sz val="10"/>
        <rFont val="Arial"/>
        <family val="0"/>
        <charset val="1"/>
      </rPr>
      <t xml:space="preserve">filedate</t>
    </r>
    <r>
      <rPr>
        <sz val="10"/>
        <rFont val="Arial Unicode MS"/>
        <family val="2"/>
        <charset val="1"/>
      </rPr>
      <t xml:space="preserve">重复通知不产生重复入账</t>
    </r>
  </si>
  <si>
    <r>
      <rPr>
        <sz val="10"/>
        <rFont val="Arial"/>
        <family val="0"/>
        <charset val="1"/>
      </rPr>
      <t xml:space="preserve">SRS</t>
    </r>
    <r>
      <rPr>
        <sz val="10"/>
        <rFont val="Arial Unicode MS"/>
        <family val="2"/>
        <charset val="1"/>
      </rPr>
      <t xml:space="preserve">该节首行『呼入管理信息查询接口』为呼叫中心类文档复制残留；对账文件内部格式（字段、分隔符、汇总行）全文未定义，仅有文件类型</t>
    </r>
    <r>
      <rPr>
        <sz val="10"/>
        <rFont val="Arial"/>
        <family val="0"/>
        <charset val="1"/>
      </rPr>
      <t xml:space="preserve">DSDZ</t>
    </r>
    <r>
      <rPr>
        <sz val="10"/>
        <rFont val="Arial Unicode MS"/>
        <family val="2"/>
        <charset val="1"/>
      </rPr>
      <t xml:space="preserve">代号；对账结果如何反馈银行（回盘文件或接口）缺失；</t>
    </r>
    <r>
      <rPr>
        <sz val="10"/>
        <rFont val="Arial"/>
        <family val="0"/>
        <charset val="1"/>
      </rPr>
      <t xml:space="preserve">3.1</t>
    </r>
    <r>
      <rPr>
        <sz val="10"/>
        <rFont val="Arial Unicode MS"/>
        <family val="2"/>
        <charset val="1"/>
      </rPr>
      <t xml:space="preserve">提及的『银行划帐』（托收）模块与本代收对账的关系未说明（见</t>
    </r>
    <r>
      <rPr>
        <sz val="10"/>
        <rFont val="Arial"/>
        <family val="0"/>
        <charset val="1"/>
      </rPr>
      <t xml:space="preserve">expansion</t>
    </r>
    <r>
      <rPr>
        <sz val="10"/>
        <rFont val="Arial Unicode MS"/>
        <family val="2"/>
        <charset val="1"/>
      </rPr>
      <t xml:space="preserve">）。</t>
    </r>
  </si>
  <si>
    <r>
      <rPr>
        <b val="true"/>
        <sz val="10"/>
        <color rgb="FF1F4E79"/>
        <rFont val="Arial Unicode MS"/>
        <family val="2"/>
        <charset val="1"/>
      </rPr>
      <t xml:space="preserve">范围缺口：</t>
    </r>
    <r>
      <rPr>
        <b val="true"/>
        <sz val="10"/>
        <color rgb="FF1F4E79"/>
        <rFont val="Arial"/>
        <family val="0"/>
        <charset val="1"/>
      </rPr>
      <t xml:space="preserve">SRS 3.1/3.2 </t>
    </r>
    <r>
      <rPr>
        <b val="true"/>
        <sz val="10"/>
        <color rgb="FF1F4E79"/>
        <rFont val="Arial Unicode MS"/>
        <family val="2"/>
        <charset val="1"/>
      </rPr>
      <t xml:space="preserve">提及但第</t>
    </r>
    <r>
      <rPr>
        <b val="true"/>
        <sz val="10"/>
        <color rgb="FF1F4E79"/>
        <rFont val="Arial"/>
        <family val="0"/>
        <charset val="1"/>
      </rPr>
      <t xml:space="preserve">4</t>
    </r>
    <r>
      <rPr>
        <b val="true"/>
        <sz val="10"/>
        <color rgb="FF1F4E79"/>
        <rFont val="Arial Unicode MS"/>
        <family val="2"/>
        <charset val="1"/>
      </rPr>
      <t xml:space="preserve">章未详述的模块（扩展建议，不计入上方</t>
    </r>
    <r>
      <rPr>
        <b val="true"/>
        <sz val="10"/>
        <color rgb="FF1F4E79"/>
        <rFont val="Arial"/>
        <family val="0"/>
        <charset val="1"/>
      </rPr>
      <t xml:space="preserve">27</t>
    </r>
    <r>
      <rPr>
        <b val="true"/>
        <sz val="10"/>
        <color rgb="FF1F4E79"/>
        <rFont val="Arial Unicode MS"/>
        <family val="2"/>
        <charset val="1"/>
      </rPr>
      <t xml:space="preserve">项清单）</t>
    </r>
  </si>
  <si>
    <t xml:space="preserve">模块</t>
  </si>
  <si>
    <r>
      <rPr>
        <b val="true"/>
        <sz val="10"/>
        <color rgb="FFFFFFFF"/>
        <rFont val="Arial"/>
        <family val="0"/>
        <charset val="1"/>
      </rPr>
      <t xml:space="preserve">SRS</t>
    </r>
    <r>
      <rPr>
        <b val="true"/>
        <sz val="10"/>
        <color rgb="FFFFFFFF"/>
        <rFont val="Arial Unicode MS"/>
        <family val="2"/>
        <charset val="1"/>
      </rPr>
      <t xml:space="preserve">线索</t>
    </r>
    <r>
      <rPr>
        <b val="true"/>
        <sz val="10"/>
        <color rgb="FFFFFFFF"/>
        <rFont val="Arial"/>
        <family val="0"/>
        <charset val="1"/>
      </rPr>
      <t xml:space="preserve">/</t>
    </r>
    <r>
      <rPr>
        <b val="true"/>
        <sz val="10"/>
        <color rgb="FFFFFFFF"/>
        <rFont val="Arial Unicode MS"/>
        <family val="2"/>
        <charset val="1"/>
      </rPr>
      <t xml:space="preserve">缺失原因</t>
    </r>
  </si>
  <si>
    <t xml:space="preserve">建议补充功能</t>
  </si>
  <si>
    <t xml:space="preserve">帐务管理</t>
  </si>
  <si>
    <r>
      <rPr>
        <sz val="10"/>
        <rFont val="Arial"/>
        <family val="0"/>
        <charset val="1"/>
      </rPr>
      <t xml:space="preserve">3.1</t>
    </r>
    <r>
      <rPr>
        <sz val="10"/>
        <rFont val="Arial Unicode MS"/>
        <family val="2"/>
        <charset val="1"/>
      </rPr>
      <t xml:space="preserve">功能清单提及、</t>
    </r>
    <r>
      <rPr>
        <sz val="10"/>
        <rFont val="Arial"/>
        <family val="0"/>
        <charset val="1"/>
      </rPr>
      <t xml:space="preserve">3.2</t>
    </r>
    <r>
      <rPr>
        <sz val="10"/>
        <rFont val="Arial Unicode MS"/>
        <family val="2"/>
        <charset val="1"/>
      </rPr>
      <t xml:space="preserve">总体功能描述『每笔费用可由财务进行处理』，但</t>
    </r>
    <r>
      <rPr>
        <sz val="10"/>
        <rFont val="Arial"/>
        <family val="0"/>
        <charset val="1"/>
      </rPr>
      <t xml:space="preserve">3.3</t>
    </r>
    <r>
      <rPr>
        <sz val="10"/>
        <rFont val="Arial Unicode MS"/>
        <family val="2"/>
        <charset val="1"/>
      </rPr>
      <t xml:space="preserve">清单与第</t>
    </r>
    <r>
      <rPr>
        <sz val="10"/>
        <rFont val="Arial"/>
        <family val="0"/>
        <charset val="1"/>
      </rPr>
      <t xml:space="preserve">4</t>
    </r>
    <r>
      <rPr>
        <sz val="10"/>
        <rFont val="Arial Unicode MS"/>
        <family val="2"/>
        <charset val="1"/>
      </rPr>
      <t xml:space="preserve">章均未详述；算费开账是抄表到收费链路的中枢，缺失将导致账单来源无定义。</t>
    </r>
  </si>
  <si>
    <r>
      <rPr>
        <sz val="10"/>
        <rFont val="Arial"/>
        <family val="0"/>
        <charset val="1"/>
      </rPr>
      <t xml:space="preserve">· </t>
    </r>
    <r>
      <rPr>
        <sz val="10"/>
        <rFont val="Arial Unicode MS"/>
        <family val="2"/>
        <charset val="1"/>
      </rPr>
      <t xml:space="preserve">算费开账（按抄表记录</t>
    </r>
    <r>
      <rPr>
        <sz val="10"/>
        <rFont val="Arial"/>
        <family val="0"/>
        <charset val="1"/>
      </rPr>
      <t xml:space="preserve">+</t>
    </r>
    <r>
      <rPr>
        <sz val="10"/>
        <rFont val="Arial Unicode MS"/>
        <family val="2"/>
        <charset val="1"/>
      </rPr>
      <t xml:space="preserve">水价</t>
    </r>
    <r>
      <rPr>
        <sz val="10"/>
        <rFont val="Arial"/>
        <family val="0"/>
        <charset val="1"/>
      </rPr>
      <t xml:space="preserve">+</t>
    </r>
    <r>
      <rPr>
        <sz val="10"/>
        <rFont val="Arial Unicode MS"/>
        <family val="2"/>
        <charset val="1"/>
      </rPr>
      <t xml:space="preserve">阶梯</t>
    </r>
    <r>
      <rPr>
        <sz val="10"/>
        <rFont val="Arial"/>
        <family val="0"/>
        <charset val="1"/>
      </rPr>
      <t xml:space="preserve">+</t>
    </r>
    <r>
      <rPr>
        <sz val="10"/>
        <rFont val="Arial Unicode MS"/>
        <family val="2"/>
        <charset val="1"/>
      </rPr>
      <t xml:space="preserve">优惠生成账单，含污水费等附加费项）
</t>
    </r>
    <r>
      <rPr>
        <sz val="10"/>
        <rFont val="Arial"/>
        <family val="0"/>
        <charset val="1"/>
      </rPr>
      <t xml:space="preserve">· </t>
    </r>
    <r>
      <rPr>
        <sz val="10"/>
        <rFont val="Arial Unicode MS"/>
        <family val="2"/>
        <charset val="1"/>
      </rPr>
      <t xml:space="preserve">水价方案管理（分类水价、阶梯水价、特种水价与调价生效）
</t>
    </r>
    <r>
      <rPr>
        <sz val="10"/>
        <rFont val="Arial"/>
        <family val="0"/>
        <charset val="1"/>
      </rPr>
      <t xml:space="preserve">· </t>
    </r>
    <r>
      <rPr>
        <sz val="10"/>
        <rFont val="Arial Unicode MS"/>
        <family val="2"/>
        <charset val="1"/>
      </rPr>
      <t xml:space="preserve">滞纳金</t>
    </r>
    <r>
      <rPr>
        <sz val="10"/>
        <rFont val="Arial"/>
        <family val="0"/>
        <charset val="1"/>
      </rPr>
      <t xml:space="preserve">/</t>
    </r>
    <r>
      <rPr>
        <sz val="10"/>
        <rFont val="Arial Unicode MS"/>
        <family val="2"/>
        <charset val="1"/>
      </rPr>
      <t xml:space="preserve">违约金计算规则配置（起算日、费率、封顶）
</t>
    </r>
    <r>
      <rPr>
        <sz val="10"/>
        <rFont val="Arial"/>
        <family val="0"/>
        <charset val="1"/>
      </rPr>
      <t xml:space="preserve">· </t>
    </r>
    <r>
      <rPr>
        <sz val="10"/>
        <rFont val="Arial Unicode MS"/>
        <family val="2"/>
        <charset val="1"/>
      </rPr>
      <t xml:space="preserve">水量异常减免与污水费缓缴审批（</t>
    </r>
    <r>
      <rPr>
        <sz val="10"/>
        <rFont val="Arial"/>
        <family val="0"/>
        <charset val="1"/>
      </rPr>
      <t xml:space="preserve">3.2</t>
    </r>
    <r>
      <rPr>
        <sz val="10"/>
        <rFont val="Arial Unicode MS"/>
        <family val="2"/>
        <charset val="1"/>
      </rPr>
      <t xml:space="preserve">明确提及）
</t>
    </r>
    <r>
      <rPr>
        <sz val="10"/>
        <rFont val="Arial"/>
        <family val="0"/>
        <charset val="1"/>
      </rPr>
      <t xml:space="preserve">· </t>
    </r>
    <r>
      <rPr>
        <sz val="10"/>
        <rFont val="Arial Unicode MS"/>
        <family val="2"/>
        <charset val="1"/>
      </rPr>
      <t xml:space="preserve">账单调整</t>
    </r>
    <r>
      <rPr>
        <sz val="10"/>
        <rFont val="Arial"/>
        <family val="0"/>
        <charset val="1"/>
      </rPr>
      <t xml:space="preserve">/</t>
    </r>
    <r>
      <rPr>
        <sz val="10"/>
        <rFont val="Arial Unicode MS"/>
        <family val="2"/>
        <charset val="1"/>
      </rPr>
      <t xml:space="preserve">冲红与重开账
</t>
    </r>
    <r>
      <rPr>
        <sz val="10"/>
        <rFont val="Arial"/>
        <family val="0"/>
        <charset val="1"/>
      </rPr>
      <t xml:space="preserve">· </t>
    </r>
    <r>
      <rPr>
        <sz val="10"/>
        <rFont val="Arial Unicode MS"/>
        <family val="2"/>
        <charset val="1"/>
      </rPr>
      <t xml:space="preserve">应收账款账龄与欠费催缴管理
</t>
    </r>
    <r>
      <rPr>
        <sz val="10"/>
        <rFont val="Arial"/>
        <family val="0"/>
        <charset val="1"/>
      </rPr>
      <t xml:space="preserve">· </t>
    </r>
    <r>
      <rPr>
        <sz val="10"/>
        <rFont val="Arial Unicode MS"/>
        <family val="2"/>
        <charset val="1"/>
      </rPr>
      <t xml:space="preserve">网点</t>
    </r>
    <r>
      <rPr>
        <sz val="10"/>
        <rFont val="Arial"/>
        <family val="0"/>
        <charset val="1"/>
      </rPr>
      <t xml:space="preserve">/</t>
    </r>
    <r>
      <rPr>
        <sz val="10"/>
        <rFont val="Arial Unicode MS"/>
        <family val="2"/>
        <charset val="1"/>
      </rPr>
      <t xml:space="preserve">柜员日结与财务复核入账</t>
    </r>
  </si>
  <si>
    <t xml:space="preserve">掌上机抄表管理</t>
  </si>
  <si>
    <r>
      <rPr>
        <sz val="10"/>
        <rFont val="Arial"/>
        <family val="0"/>
        <charset val="1"/>
      </rPr>
      <t xml:space="preserve">3.1</t>
    </r>
    <r>
      <rPr>
        <sz val="10"/>
        <rFont val="Arial Unicode MS"/>
        <family val="2"/>
        <charset val="1"/>
      </rPr>
      <t xml:space="preserve">提及且</t>
    </r>
    <r>
      <rPr>
        <sz val="10"/>
        <rFont val="Arial"/>
        <family val="0"/>
        <charset val="1"/>
      </rPr>
      <t xml:space="preserve">3.2</t>
    </r>
    <r>
      <rPr>
        <sz val="10"/>
        <rFont val="Arial Unicode MS"/>
        <family val="2"/>
        <charset val="1"/>
      </rPr>
      <t xml:space="preserve">抄表管理描述『提供抄表机抄表』，但第</t>
    </r>
    <r>
      <rPr>
        <sz val="10"/>
        <rFont val="Arial"/>
        <family val="0"/>
        <charset val="1"/>
      </rPr>
      <t xml:space="preserve">4</t>
    </r>
    <r>
      <rPr>
        <sz val="10"/>
        <rFont val="Arial Unicode MS"/>
        <family val="2"/>
        <charset val="1"/>
      </rPr>
      <t xml:space="preserve">章仅有导入侧（</t>
    </r>
    <r>
      <rPr>
        <sz val="10"/>
        <rFont val="Arial"/>
        <family val="0"/>
        <charset val="1"/>
      </rPr>
      <t xml:space="preserve">4.7.3</t>
    </r>
    <r>
      <rPr>
        <sz val="10"/>
        <rFont val="Arial Unicode MS"/>
        <family val="2"/>
        <charset val="1"/>
      </rPr>
      <t xml:space="preserve">），任务下载、外勤采集、回传的闭环未详述。</t>
    </r>
  </si>
  <si>
    <r>
      <rPr>
        <sz val="10"/>
        <rFont val="Arial"/>
        <family val="0"/>
        <charset val="1"/>
      </rPr>
      <t xml:space="preserve">· </t>
    </r>
    <r>
      <rPr>
        <sz val="10"/>
        <rFont val="Arial Unicode MS"/>
        <family val="2"/>
        <charset val="1"/>
      </rPr>
      <t xml:space="preserve">抄表任务下发（按表册</t>
    </r>
    <r>
      <rPr>
        <sz val="10"/>
        <rFont val="Arial"/>
        <family val="0"/>
        <charset val="1"/>
      </rPr>
      <t xml:space="preserve">/</t>
    </r>
    <r>
      <rPr>
        <sz val="10"/>
        <rFont val="Arial Unicode MS"/>
        <family val="2"/>
        <charset val="1"/>
      </rPr>
      <t xml:space="preserve">抄表顺序生成掌上机任务包）
</t>
    </r>
    <r>
      <rPr>
        <sz val="10"/>
        <rFont val="Arial"/>
        <family val="0"/>
        <charset val="1"/>
      </rPr>
      <t xml:space="preserve">· </t>
    </r>
    <r>
      <rPr>
        <sz val="10"/>
        <rFont val="Arial Unicode MS"/>
        <family val="2"/>
        <charset val="1"/>
      </rPr>
      <t xml:space="preserve">掌上机设备注册与绑定管理（设备号</t>
    </r>
    <r>
      <rPr>
        <sz val="10"/>
        <rFont val="Arial"/>
        <family val="0"/>
        <charset val="1"/>
      </rPr>
      <t xml:space="preserve">-</t>
    </r>
    <r>
      <rPr>
        <sz val="10"/>
        <rFont val="Arial Unicode MS"/>
        <family val="2"/>
        <charset val="1"/>
      </rPr>
      <t xml:space="preserve">抄表员）
</t>
    </r>
    <r>
      <rPr>
        <sz val="10"/>
        <rFont val="Arial"/>
        <family val="0"/>
        <charset val="1"/>
      </rPr>
      <t xml:space="preserve">· </t>
    </r>
    <r>
      <rPr>
        <sz val="10"/>
        <rFont val="Arial Unicode MS"/>
        <family val="2"/>
        <charset val="1"/>
      </rPr>
      <t xml:space="preserve">外勤抄表采集（读数、异常标记、拍照、</t>
    </r>
    <r>
      <rPr>
        <sz val="10"/>
        <rFont val="Arial"/>
        <family val="0"/>
        <charset val="1"/>
      </rPr>
      <t xml:space="preserve">GPS</t>
    </r>
    <r>
      <rPr>
        <sz val="10"/>
        <rFont val="Arial Unicode MS"/>
        <family val="2"/>
        <charset val="1"/>
      </rPr>
      <t xml:space="preserve">定位）
</t>
    </r>
    <r>
      <rPr>
        <sz val="10"/>
        <rFont val="Arial"/>
        <family val="0"/>
        <charset val="1"/>
      </rPr>
      <t xml:space="preserve">· </t>
    </r>
    <r>
      <rPr>
        <sz val="10"/>
        <rFont val="Arial Unicode MS"/>
        <family val="2"/>
        <charset val="1"/>
      </rPr>
      <t xml:space="preserve">抄表数据回传与断点续传
</t>
    </r>
    <r>
      <rPr>
        <sz val="10"/>
        <rFont val="Arial"/>
        <family val="0"/>
        <charset val="1"/>
      </rPr>
      <t xml:space="preserve">· </t>
    </r>
    <r>
      <rPr>
        <sz val="10"/>
        <rFont val="Arial Unicode MS"/>
        <family val="2"/>
        <charset val="1"/>
      </rPr>
      <t xml:space="preserve">抄见率</t>
    </r>
    <r>
      <rPr>
        <sz val="10"/>
        <rFont val="Arial"/>
        <family val="0"/>
        <charset val="1"/>
      </rPr>
      <t xml:space="preserve">/</t>
    </r>
    <r>
      <rPr>
        <sz val="10"/>
        <rFont val="Arial Unicode MS"/>
        <family val="2"/>
        <charset val="1"/>
      </rPr>
      <t xml:space="preserve">漏抄监控与任务进度看板</t>
    </r>
  </si>
  <si>
    <t xml:space="preserve">银行划帐</t>
  </si>
  <si>
    <r>
      <rPr>
        <sz val="10"/>
        <rFont val="Arial"/>
        <family val="0"/>
        <charset val="1"/>
      </rPr>
      <t xml:space="preserve">3.1</t>
    </r>
    <r>
      <rPr>
        <sz val="10"/>
        <rFont val="Arial Unicode MS"/>
        <family val="2"/>
        <charset val="1"/>
      </rPr>
      <t xml:space="preserve">提及、</t>
    </r>
    <r>
      <rPr>
        <sz val="10"/>
        <rFont val="Arial"/>
        <family val="0"/>
        <charset val="1"/>
      </rPr>
      <t xml:space="preserve">3.2</t>
    </r>
    <r>
      <rPr>
        <sz val="10"/>
        <rFont val="Arial Unicode MS"/>
        <family val="2"/>
        <charset val="1"/>
      </rPr>
      <t xml:space="preserve">收费管理描述『通过银行托收…实时代收、代扣』，但第</t>
    </r>
    <r>
      <rPr>
        <sz val="10"/>
        <rFont val="Arial"/>
        <family val="0"/>
        <charset val="1"/>
      </rPr>
      <t xml:space="preserve">4</t>
    </r>
    <r>
      <rPr>
        <sz val="10"/>
        <rFont val="Arial Unicode MS"/>
        <family val="2"/>
        <charset val="1"/>
      </rPr>
      <t xml:space="preserve">章无对应功能，</t>
    </r>
    <r>
      <rPr>
        <sz val="10"/>
        <rFont val="Arial"/>
        <family val="0"/>
        <charset val="1"/>
      </rPr>
      <t xml:space="preserve">5.2</t>
    </r>
    <r>
      <rPr>
        <sz val="10"/>
        <rFont val="Arial Unicode MS"/>
        <family val="2"/>
        <charset val="1"/>
      </rPr>
      <t xml:space="preserve">仅覆盖银行实时代收接口，批量托收划扣未定义。</t>
    </r>
  </si>
  <si>
    <r>
      <rPr>
        <sz val="10"/>
        <rFont val="Arial"/>
        <family val="0"/>
        <charset val="1"/>
      </rPr>
      <t xml:space="preserve">· </t>
    </r>
    <r>
      <rPr>
        <sz val="10"/>
        <rFont val="Arial Unicode MS"/>
        <family val="2"/>
        <charset val="1"/>
      </rPr>
      <t xml:space="preserve">用户银行账户签约管理（缴费方式变更、银行信息变更，</t>
    </r>
    <r>
      <rPr>
        <sz val="10"/>
        <rFont val="Arial"/>
        <family val="0"/>
        <charset val="1"/>
      </rPr>
      <t xml:space="preserve">3.2</t>
    </r>
    <r>
      <rPr>
        <sz val="10"/>
        <rFont val="Arial Unicode MS"/>
        <family val="2"/>
        <charset val="1"/>
      </rPr>
      <t xml:space="preserve">档案管理提及）
</t>
    </r>
    <r>
      <rPr>
        <sz val="10"/>
        <rFont val="Arial"/>
        <family val="0"/>
        <charset val="1"/>
      </rPr>
      <t xml:space="preserve">· </t>
    </r>
    <r>
      <rPr>
        <sz val="10"/>
        <rFont val="Arial Unicode MS"/>
        <family val="2"/>
        <charset val="1"/>
      </rPr>
      <t xml:space="preserve">托收批次生成（按账期汇总签约用户欠费生成划扣文件）
</t>
    </r>
    <r>
      <rPr>
        <sz val="10"/>
        <rFont val="Arial"/>
        <family val="0"/>
        <charset val="1"/>
      </rPr>
      <t xml:space="preserve">· </t>
    </r>
    <r>
      <rPr>
        <sz val="10"/>
        <rFont val="Arial Unicode MS"/>
        <family val="2"/>
        <charset val="1"/>
      </rPr>
      <t xml:space="preserve">托收文件报盘</t>
    </r>
    <r>
      <rPr>
        <sz val="10"/>
        <rFont val="Arial"/>
        <family val="0"/>
        <charset val="1"/>
      </rPr>
      <t xml:space="preserve">/</t>
    </r>
    <r>
      <rPr>
        <sz val="10"/>
        <rFont val="Arial Unicode MS"/>
        <family val="2"/>
        <charset val="1"/>
      </rPr>
      <t xml:space="preserve">回盘处理（成功销账、失败原因回写）
</t>
    </r>
    <r>
      <rPr>
        <sz val="10"/>
        <rFont val="Arial"/>
        <family val="0"/>
        <charset val="1"/>
      </rPr>
      <t xml:space="preserve">· </t>
    </r>
    <r>
      <rPr>
        <sz val="10"/>
        <rFont val="Arial Unicode MS"/>
        <family val="2"/>
        <charset val="1"/>
      </rPr>
      <t xml:space="preserve">托收失败转催缴与二次托收
</t>
    </r>
    <r>
      <rPr>
        <sz val="10"/>
        <rFont val="Arial"/>
        <family val="0"/>
        <charset val="1"/>
      </rPr>
      <t xml:space="preserve">· </t>
    </r>
    <r>
      <rPr>
        <sz val="10"/>
        <rFont val="Arial Unicode MS"/>
        <family val="2"/>
        <charset val="1"/>
      </rPr>
      <t xml:space="preserve">托收对账与资金到账勾稽</t>
    </r>
  </si>
  <si>
    <t xml:space="preserve">系统报表</t>
  </si>
  <si>
    <r>
      <rPr>
        <sz val="10"/>
        <rFont val="Arial"/>
        <family val="0"/>
        <charset val="1"/>
      </rPr>
      <t xml:space="preserve">3.1</t>
    </r>
    <r>
      <rPr>
        <sz val="10"/>
        <rFont val="Arial Unicode MS"/>
        <family val="2"/>
        <charset val="1"/>
      </rPr>
      <t xml:space="preserve">提及但全文无任何报表定义；</t>
    </r>
    <r>
      <rPr>
        <sz val="10"/>
        <rFont val="Arial"/>
        <family val="0"/>
        <charset val="1"/>
      </rPr>
      <t xml:space="preserve">3.2</t>
    </r>
    <r>
      <rPr>
        <sz val="10"/>
        <rFont val="Arial Unicode MS"/>
        <family val="2"/>
        <charset val="1"/>
      </rPr>
      <t xml:space="preserve">抄表管理提到『水量异常的抄表数据报表监控』亦无落地功能。</t>
    </r>
  </si>
  <si>
    <r>
      <rPr>
        <sz val="10"/>
        <rFont val="Arial"/>
        <family val="0"/>
        <charset val="1"/>
      </rPr>
      <t xml:space="preserve">· </t>
    </r>
    <r>
      <rPr>
        <sz val="10"/>
        <rFont val="Arial Unicode MS"/>
        <family val="2"/>
        <charset val="1"/>
      </rPr>
      <t xml:space="preserve">抄表报表（抄见率、异常水量监控、估抄率、漏抄清单）
</t>
    </r>
    <r>
      <rPr>
        <sz val="10"/>
        <rFont val="Arial"/>
        <family val="0"/>
        <charset val="1"/>
      </rPr>
      <t xml:space="preserve">· </t>
    </r>
    <r>
      <rPr>
        <sz val="10"/>
        <rFont val="Arial Unicode MS"/>
        <family val="2"/>
        <charset val="1"/>
      </rPr>
      <t xml:space="preserve">收费报表（日</t>
    </r>
    <r>
      <rPr>
        <sz val="10"/>
        <rFont val="Arial"/>
        <family val="0"/>
        <charset val="1"/>
      </rPr>
      <t xml:space="preserve">/</t>
    </r>
    <r>
      <rPr>
        <sz val="10"/>
        <rFont val="Arial Unicode MS"/>
        <family val="2"/>
        <charset val="1"/>
      </rPr>
      <t xml:space="preserve">月收费汇总、分渠道</t>
    </r>
    <r>
      <rPr>
        <sz val="10"/>
        <rFont val="Arial"/>
        <family val="0"/>
        <charset val="1"/>
      </rPr>
      <t xml:space="preserve">/</t>
    </r>
    <r>
      <rPr>
        <sz val="10"/>
        <rFont val="Arial Unicode MS"/>
        <family val="2"/>
        <charset val="1"/>
      </rPr>
      <t xml:space="preserve">网点</t>
    </r>
    <r>
      <rPr>
        <sz val="10"/>
        <rFont val="Arial"/>
        <family val="0"/>
        <charset val="1"/>
      </rPr>
      <t xml:space="preserve">/</t>
    </r>
    <r>
      <rPr>
        <sz val="10"/>
        <rFont val="Arial Unicode MS"/>
        <family val="2"/>
        <charset val="1"/>
      </rPr>
      <t xml:space="preserve">柜员统计、日结单）
</t>
    </r>
    <r>
      <rPr>
        <sz val="10"/>
        <rFont val="Arial"/>
        <family val="0"/>
        <charset val="1"/>
      </rPr>
      <t xml:space="preserve">· </t>
    </r>
    <r>
      <rPr>
        <sz val="10"/>
        <rFont val="Arial Unicode MS"/>
        <family val="2"/>
        <charset val="1"/>
      </rPr>
      <t xml:space="preserve">欠费报表（欠费清单、账龄分析、催缴效果）
</t>
    </r>
    <r>
      <rPr>
        <sz val="10"/>
        <rFont val="Arial"/>
        <family val="0"/>
        <charset val="1"/>
      </rPr>
      <t xml:space="preserve">· </t>
    </r>
    <r>
      <rPr>
        <sz val="10"/>
        <rFont val="Arial Unicode MS"/>
        <family val="2"/>
        <charset val="1"/>
      </rPr>
      <t xml:space="preserve">售水量与产销差统计报表
</t>
    </r>
    <r>
      <rPr>
        <sz val="10"/>
        <rFont val="Arial"/>
        <family val="0"/>
        <charset val="1"/>
      </rPr>
      <t xml:space="preserve">· </t>
    </r>
    <r>
      <rPr>
        <sz val="10"/>
        <rFont val="Arial Unicode MS"/>
        <family val="2"/>
        <charset val="1"/>
      </rPr>
      <t xml:space="preserve">发票使用与开票汇总报表
</t>
    </r>
    <r>
      <rPr>
        <sz val="10"/>
        <rFont val="Arial"/>
        <family val="0"/>
        <charset val="1"/>
      </rPr>
      <t xml:space="preserve">· </t>
    </r>
    <r>
      <rPr>
        <sz val="10"/>
        <rFont val="Arial Unicode MS"/>
        <family val="2"/>
        <charset val="1"/>
      </rPr>
      <t xml:space="preserve">报表导出（</t>
    </r>
    <r>
      <rPr>
        <sz val="10"/>
        <rFont val="Arial"/>
        <family val="0"/>
        <charset val="1"/>
      </rPr>
      <t xml:space="preserve">Excel/PDF</t>
    </r>
    <r>
      <rPr>
        <sz val="10"/>
        <rFont val="Arial Unicode MS"/>
        <family val="2"/>
        <charset val="1"/>
      </rPr>
      <t xml:space="preserve">）与定时生成推送</t>
    </r>
  </si>
  <si>
    <t xml:space="preserve">系统管理</t>
  </si>
  <si>
    <r>
      <rPr>
        <sz val="10"/>
        <rFont val="Arial"/>
        <family val="0"/>
        <charset val="1"/>
      </rPr>
      <t xml:space="preserve">3.1</t>
    </r>
    <r>
      <rPr>
        <sz val="10"/>
        <rFont val="Arial Unicode MS"/>
        <family val="2"/>
        <charset val="1"/>
      </rPr>
      <t xml:space="preserve">提及未详述；</t>
    </r>
    <r>
      <rPr>
        <sz val="10"/>
        <rFont val="Arial"/>
        <family val="0"/>
        <charset val="1"/>
      </rPr>
      <t xml:space="preserve">6.3</t>
    </r>
    <r>
      <rPr>
        <sz val="10"/>
        <rFont val="Arial Unicode MS"/>
        <family val="2"/>
        <charset val="1"/>
      </rPr>
      <t xml:space="preserve">安全性要求（身份鉴别、口令策略、登录失败处理、角色权限、审计）均需系统管理功能承载，否则安全需求无实现载体。</t>
    </r>
  </si>
  <si>
    <r>
      <rPr>
        <sz val="10"/>
        <rFont val="Arial"/>
        <family val="0"/>
        <charset val="1"/>
      </rPr>
      <t xml:space="preserve">· </t>
    </r>
    <r>
      <rPr>
        <sz val="10"/>
        <rFont val="Arial Unicode MS"/>
        <family val="2"/>
        <charset val="1"/>
      </rPr>
      <t xml:space="preserve">组织机构与区域管理（营业所</t>
    </r>
    <r>
      <rPr>
        <sz val="10"/>
        <rFont val="Arial"/>
        <family val="0"/>
        <charset val="1"/>
      </rPr>
      <t xml:space="preserve">/</t>
    </r>
    <r>
      <rPr>
        <sz val="10"/>
        <rFont val="Arial Unicode MS"/>
        <family val="2"/>
        <charset val="1"/>
      </rPr>
      <t xml:space="preserve">分公司）
</t>
    </r>
    <r>
      <rPr>
        <sz val="10"/>
        <rFont val="Arial"/>
        <family val="0"/>
        <charset val="1"/>
      </rPr>
      <t xml:space="preserve">· </t>
    </r>
    <r>
      <rPr>
        <sz val="10"/>
        <rFont val="Arial Unicode MS"/>
        <family val="2"/>
        <charset val="1"/>
      </rPr>
      <t xml:space="preserve">用户账号管理（唯一性、口令复杂度≥</t>
    </r>
    <r>
      <rPr>
        <sz val="10"/>
        <rFont val="Arial"/>
        <family val="0"/>
        <charset val="1"/>
      </rPr>
      <t xml:space="preserve">8</t>
    </r>
    <r>
      <rPr>
        <sz val="10"/>
        <rFont val="Arial Unicode MS"/>
        <family val="2"/>
        <charset val="1"/>
      </rPr>
      <t xml:space="preserve">位</t>
    </r>
    <r>
      <rPr>
        <sz val="10"/>
        <rFont val="Arial"/>
        <family val="0"/>
        <charset val="1"/>
      </rPr>
      <t xml:space="preserve">3</t>
    </r>
    <r>
      <rPr>
        <sz val="10"/>
        <rFont val="Arial Unicode MS"/>
        <family val="2"/>
        <charset val="1"/>
      </rPr>
      <t xml:space="preserve">类字符、定期更换、登录失败锁定——对应</t>
    </r>
    <r>
      <rPr>
        <sz val="10"/>
        <rFont val="Arial"/>
        <family val="0"/>
        <charset val="1"/>
      </rPr>
      <t xml:space="preserve">6.3.1</t>
    </r>
    <r>
      <rPr>
        <sz val="10"/>
        <rFont val="Arial Unicode MS"/>
        <family val="2"/>
        <charset val="1"/>
      </rPr>
      <t xml:space="preserve">）
</t>
    </r>
    <r>
      <rPr>
        <sz val="10"/>
        <rFont val="Arial"/>
        <family val="0"/>
        <charset val="1"/>
      </rPr>
      <t xml:space="preserve">· </t>
    </r>
    <r>
      <rPr>
        <sz val="10"/>
        <rFont val="Arial Unicode MS"/>
        <family val="2"/>
        <charset val="1"/>
      </rPr>
      <t xml:space="preserve">角色权限管理（功能权限、数据权限、柜台授权审批权限）
</t>
    </r>
    <r>
      <rPr>
        <sz val="10"/>
        <rFont val="Arial"/>
        <family val="0"/>
        <charset val="1"/>
      </rPr>
      <t xml:space="preserve">· </t>
    </r>
    <r>
      <rPr>
        <sz val="10"/>
        <rFont val="Arial Unicode MS"/>
        <family val="2"/>
        <charset val="1"/>
      </rPr>
      <t xml:space="preserve">操作日志与安全审计（应用层行为审计，对应</t>
    </r>
    <r>
      <rPr>
        <sz val="10"/>
        <rFont val="Arial"/>
        <family val="0"/>
        <charset val="1"/>
      </rPr>
      <t xml:space="preserve">6.3.1</t>
    </r>
    <r>
      <rPr>
        <sz val="10"/>
        <rFont val="Arial Unicode MS"/>
        <family val="2"/>
        <charset val="1"/>
      </rPr>
      <t xml:space="preserve">审计要求）
</t>
    </r>
    <r>
      <rPr>
        <sz val="10"/>
        <rFont val="Arial"/>
        <family val="0"/>
        <charset val="1"/>
      </rPr>
      <t xml:space="preserve">· </t>
    </r>
    <r>
      <rPr>
        <sz val="10"/>
        <rFont val="Arial Unicode MS"/>
        <family val="2"/>
        <charset val="1"/>
      </rPr>
      <t xml:space="preserve">系统参数配置（滞纳金参数、异常水量倍数</t>
    </r>
    <r>
      <rPr>
        <sz val="10"/>
        <rFont val="Arial"/>
        <family val="0"/>
        <charset val="1"/>
      </rPr>
      <t xml:space="preserve">N</t>
    </r>
    <r>
      <rPr>
        <sz val="10"/>
        <rFont val="Arial Unicode MS"/>
        <family val="2"/>
        <charset val="1"/>
      </rPr>
      <t xml:space="preserve">、预存抵扣开关等）
</t>
    </r>
    <r>
      <rPr>
        <sz val="10"/>
        <rFont val="Arial"/>
        <family val="0"/>
        <charset val="1"/>
      </rPr>
      <t xml:space="preserve">· </t>
    </r>
    <r>
      <rPr>
        <sz val="10"/>
        <rFont val="Arial Unicode MS"/>
        <family val="2"/>
        <charset val="1"/>
      </rPr>
      <t xml:space="preserve">数据字典统一维护入口</t>
    </r>
  </si>
  <si>
    <t xml:space="preserve">档案管理（业务办理部分）</t>
  </si>
  <si>
    <r>
      <rPr>
        <sz val="10"/>
        <rFont val="Arial"/>
        <family val="0"/>
        <charset val="1"/>
      </rPr>
      <t xml:space="preserve">3.2</t>
    </r>
    <r>
      <rPr>
        <sz val="10"/>
        <rFont val="Arial Unicode MS"/>
        <family val="2"/>
        <charset val="1"/>
      </rPr>
      <t xml:space="preserve">详述了立户、销户、过户、改表、缴费方式变更、银行信息变更及档案变更跟踪，但第</t>
    </r>
    <r>
      <rPr>
        <sz val="10"/>
        <rFont val="Arial"/>
        <family val="0"/>
        <charset val="1"/>
      </rPr>
      <t xml:space="preserve">4</t>
    </r>
    <r>
      <rPr>
        <sz val="10"/>
        <rFont val="Arial Unicode MS"/>
        <family val="2"/>
        <charset val="1"/>
      </rPr>
      <t xml:space="preserve">章仅覆盖档案『基础数据』字典，立户等核心业务流程未给出场景描述表。</t>
    </r>
  </si>
  <si>
    <r>
      <rPr>
        <sz val="10"/>
        <rFont val="Arial"/>
        <family val="0"/>
        <charset val="1"/>
      </rPr>
      <t xml:space="preserve">· </t>
    </r>
    <r>
      <rPr>
        <sz val="10"/>
        <rFont val="Arial Unicode MS"/>
        <family val="2"/>
        <charset val="1"/>
      </rPr>
      <t xml:space="preserve">报装立户（生成户号、绑定水表、水价与优惠设定、归入表册）
</t>
    </r>
    <r>
      <rPr>
        <sz val="10"/>
        <rFont val="Arial"/>
        <family val="0"/>
        <charset val="1"/>
      </rPr>
      <t xml:space="preserve">· </t>
    </r>
    <r>
      <rPr>
        <sz val="10"/>
        <rFont val="Arial Unicode MS"/>
        <family val="2"/>
        <charset val="1"/>
      </rPr>
      <t xml:space="preserve">销户</t>
    </r>
    <r>
      <rPr>
        <sz val="10"/>
        <rFont val="Arial"/>
        <family val="0"/>
        <charset val="1"/>
      </rPr>
      <t xml:space="preserve">/</t>
    </r>
    <r>
      <rPr>
        <sz val="10"/>
        <rFont val="Arial Unicode MS"/>
        <family val="2"/>
        <charset val="1"/>
      </rPr>
      <t xml:space="preserve">报停</t>
    </r>
    <r>
      <rPr>
        <sz val="10"/>
        <rFont val="Arial"/>
        <family val="0"/>
        <charset val="1"/>
      </rPr>
      <t xml:space="preserve">/</t>
    </r>
    <r>
      <rPr>
        <sz val="10"/>
        <rFont val="Arial Unicode MS"/>
        <family val="2"/>
        <charset val="1"/>
      </rPr>
      <t xml:space="preserve">复装
</t>
    </r>
    <r>
      <rPr>
        <sz val="10"/>
        <rFont val="Arial"/>
        <family val="0"/>
        <charset val="1"/>
      </rPr>
      <t xml:space="preserve">· </t>
    </r>
    <r>
      <rPr>
        <sz val="10"/>
        <rFont val="Arial Unicode MS"/>
        <family val="2"/>
        <charset val="1"/>
      </rPr>
      <t xml:space="preserve">过户与用水性质变更
</t>
    </r>
    <r>
      <rPr>
        <sz val="10"/>
        <rFont val="Arial"/>
        <family val="0"/>
        <charset val="1"/>
      </rPr>
      <t xml:space="preserve">· </t>
    </r>
    <r>
      <rPr>
        <sz val="10"/>
        <rFont val="Arial Unicode MS"/>
        <family val="2"/>
        <charset val="1"/>
      </rPr>
      <t xml:space="preserve">换表</t>
    </r>
    <r>
      <rPr>
        <sz val="10"/>
        <rFont val="Arial"/>
        <family val="0"/>
        <charset val="1"/>
      </rPr>
      <t xml:space="preserve">/</t>
    </r>
    <r>
      <rPr>
        <sz val="10"/>
        <rFont val="Arial Unicode MS"/>
        <family val="2"/>
        <charset val="1"/>
      </rPr>
      <t xml:space="preserve">改表业务（联动换表信息影响抄表）
</t>
    </r>
    <r>
      <rPr>
        <sz val="10"/>
        <rFont val="Arial"/>
        <family val="0"/>
        <charset val="1"/>
      </rPr>
      <t xml:space="preserve">· </t>
    </r>
    <r>
      <rPr>
        <sz val="10"/>
        <rFont val="Arial Unicode MS"/>
        <family val="2"/>
        <charset val="1"/>
      </rPr>
      <t xml:space="preserve">缴费方式与银行信息变更
</t>
    </r>
    <r>
      <rPr>
        <sz val="10"/>
        <rFont val="Arial"/>
        <family val="0"/>
        <charset val="1"/>
      </rPr>
      <t xml:space="preserve">· </t>
    </r>
    <r>
      <rPr>
        <sz val="10"/>
        <rFont val="Arial Unicode MS"/>
        <family val="2"/>
        <charset val="1"/>
      </rPr>
      <t xml:space="preserve">档案变更历史跟踪查询</t>
    </r>
  </si>
  <si>
    <t xml:space="preserve">水表管理（表务全生命周期）</t>
  </si>
  <si>
    <r>
      <rPr>
        <sz val="10"/>
        <rFont val="Arial"/>
        <family val="0"/>
        <charset val="1"/>
      </rPr>
      <t xml:space="preserve">3.2</t>
    </r>
    <r>
      <rPr>
        <sz val="10"/>
        <rFont val="Arial Unicode MS"/>
        <family val="2"/>
        <charset val="1"/>
      </rPr>
      <t xml:space="preserve">表务管理详述了入库检验、表身号录入、出库、周期更换、拆表换表、故障、检定与周检，但第</t>
    </r>
    <r>
      <rPr>
        <sz val="10"/>
        <rFont val="Arial"/>
        <family val="0"/>
        <charset val="1"/>
      </rPr>
      <t xml:space="preserve">4</t>
    </r>
    <r>
      <rPr>
        <sz val="10"/>
        <rFont val="Arial Unicode MS"/>
        <family val="2"/>
        <charset val="1"/>
      </rPr>
      <t xml:space="preserve">章仅覆盖水表『基础数据』字典，表务台账流程未详述。</t>
    </r>
  </si>
  <si>
    <r>
      <rPr>
        <sz val="10"/>
        <rFont val="Arial"/>
        <family val="0"/>
        <charset val="1"/>
      </rPr>
      <t xml:space="preserve">· </t>
    </r>
    <r>
      <rPr>
        <sz val="10"/>
        <rFont val="Arial Unicode MS"/>
        <family val="2"/>
        <charset val="1"/>
      </rPr>
      <t xml:space="preserve">水表入库与到货检验（表身号批量录入）
</t>
    </r>
    <r>
      <rPr>
        <sz val="10"/>
        <rFont val="Arial"/>
        <family val="0"/>
        <charset val="1"/>
      </rPr>
      <t xml:space="preserve">· </t>
    </r>
    <r>
      <rPr>
        <sz val="10"/>
        <rFont val="Arial Unicode MS"/>
        <family val="2"/>
        <charset val="1"/>
      </rPr>
      <t xml:space="preserve">水表出库领用与装表关联
</t>
    </r>
    <r>
      <rPr>
        <sz val="10"/>
        <rFont val="Arial"/>
        <family val="0"/>
        <charset val="1"/>
      </rPr>
      <t xml:space="preserve">· </t>
    </r>
    <r>
      <rPr>
        <sz val="10"/>
        <rFont val="Arial Unicode MS"/>
        <family val="2"/>
        <charset val="1"/>
      </rPr>
      <t xml:space="preserve">周期换表计划（按口径换表周期</t>
    </r>
    <r>
      <rPr>
        <sz val="10"/>
        <rFont val="Arial"/>
        <family val="0"/>
        <charset val="1"/>
      </rPr>
      <t xml:space="preserve">/</t>
    </r>
    <r>
      <rPr>
        <sz val="10"/>
        <rFont val="Arial Unicode MS"/>
        <family val="2"/>
        <charset val="1"/>
      </rPr>
      <t xml:space="preserve">换表读数自动生成，联动</t>
    </r>
    <r>
      <rPr>
        <sz val="10"/>
        <rFont val="Arial"/>
        <family val="0"/>
        <charset val="1"/>
      </rPr>
      <t xml:space="preserve">FR-6.2</t>
    </r>
    <r>
      <rPr>
        <sz val="10"/>
        <rFont val="Arial Unicode MS"/>
        <family val="2"/>
        <charset val="1"/>
      </rPr>
      <t xml:space="preserve">）
</t>
    </r>
    <r>
      <rPr>
        <sz val="10"/>
        <rFont val="Arial"/>
        <family val="0"/>
        <charset val="1"/>
      </rPr>
      <t xml:space="preserve">· </t>
    </r>
    <r>
      <rPr>
        <sz val="10"/>
        <rFont val="Arial Unicode MS"/>
        <family val="2"/>
        <charset val="1"/>
      </rPr>
      <t xml:space="preserve">拆表</t>
    </r>
    <r>
      <rPr>
        <sz val="10"/>
        <rFont val="Arial"/>
        <family val="0"/>
        <charset val="1"/>
      </rPr>
      <t xml:space="preserve">/</t>
    </r>
    <r>
      <rPr>
        <sz val="10"/>
        <rFont val="Arial Unicode MS"/>
        <family val="2"/>
        <charset val="1"/>
      </rPr>
      <t xml:space="preserve">换表</t>
    </r>
    <r>
      <rPr>
        <sz val="10"/>
        <rFont val="Arial"/>
        <family val="0"/>
        <charset val="1"/>
      </rPr>
      <t xml:space="preserve">/</t>
    </r>
    <r>
      <rPr>
        <sz val="10"/>
        <rFont val="Arial Unicode MS"/>
        <family val="2"/>
        <charset val="1"/>
      </rPr>
      <t xml:space="preserve">故障处理登记
</t>
    </r>
    <r>
      <rPr>
        <sz val="10"/>
        <rFont val="Arial"/>
        <family val="0"/>
        <charset val="1"/>
      </rPr>
      <t xml:space="preserve">· </t>
    </r>
    <r>
      <rPr>
        <sz val="10"/>
        <rFont val="Arial Unicode MS"/>
        <family val="2"/>
        <charset val="1"/>
      </rPr>
      <t xml:space="preserve">水表检定与周检管理（联动</t>
    </r>
    <r>
      <rPr>
        <sz val="10"/>
        <rFont val="Arial"/>
        <family val="0"/>
        <charset val="1"/>
      </rPr>
      <t xml:space="preserve">FR-6.3</t>
    </r>
    <r>
      <rPr>
        <sz val="10"/>
        <rFont val="Arial Unicode MS"/>
        <family val="2"/>
        <charset val="1"/>
      </rPr>
      <t xml:space="preserve">参数）
</t>
    </r>
    <r>
      <rPr>
        <sz val="10"/>
        <rFont val="Arial"/>
        <family val="0"/>
        <charset val="1"/>
      </rPr>
      <t xml:space="preserve">· </t>
    </r>
    <r>
      <rPr>
        <sz val="10"/>
        <rFont val="Arial Unicode MS"/>
        <family val="2"/>
        <charset val="1"/>
      </rPr>
      <t xml:space="preserve">水表全生命周期状态跟踪查询</t>
    </r>
  </si>
  <si>
    <r>
      <rPr>
        <b val="true"/>
        <sz val="12"/>
        <color rgb="FF1F4E79"/>
        <rFont val="Arial Unicode MS"/>
        <family val="2"/>
        <charset val="1"/>
      </rPr>
      <t xml:space="preserve">《供水营销管理系统》</t>
    </r>
    <r>
      <rPr>
        <b val="true"/>
        <sz val="12"/>
        <color rgb="FF1F4E79"/>
        <rFont val="Arial"/>
        <family val="0"/>
        <charset val="1"/>
      </rPr>
      <t xml:space="preserve">SRS</t>
    </r>
    <r>
      <rPr>
        <b val="true"/>
        <sz val="12"/>
        <color rgb="FF1F4E79"/>
        <rFont val="Arial Unicode MS"/>
        <family val="2"/>
        <charset val="1"/>
      </rPr>
      <t xml:space="preserve">质量检查问题清单</t>
    </r>
  </si>
  <si>
    <r>
      <rPr>
        <sz val="10"/>
        <rFont val="Arial Unicode MS"/>
        <family val="2"/>
        <charset val="1"/>
      </rPr>
      <t xml:space="preserve">总评：该</t>
    </r>
    <r>
      <rPr>
        <sz val="10"/>
        <rFont val="Arial"/>
        <family val="0"/>
        <charset val="1"/>
      </rPr>
      <t xml:space="preserve">SRS</t>
    </r>
    <r>
      <rPr>
        <sz val="10"/>
        <rFont val="Arial Unicode MS"/>
        <family val="2"/>
        <charset val="1"/>
      </rPr>
      <t xml:space="preserve">最严重的系统性问题是多系统模板拼接残留：编写目的出现「微</t>
    </r>
    <r>
      <rPr>
        <sz val="10"/>
        <rFont val="Arial"/>
        <family val="0"/>
        <charset val="1"/>
      </rPr>
      <t xml:space="preserve">ME</t>
    </r>
    <r>
      <rPr>
        <sz val="10"/>
        <rFont val="Arial Unicode MS"/>
        <family val="2"/>
        <charset val="1"/>
      </rPr>
      <t xml:space="preserve">」项目名，标准依据列的是语义网</t>
    </r>
    <r>
      <rPr>
        <sz val="10"/>
        <rFont val="Arial"/>
        <family val="0"/>
        <charset val="1"/>
      </rPr>
      <t xml:space="preserve">RDF/OWL/XML</t>
    </r>
    <r>
      <rPr>
        <sz val="10"/>
        <rFont val="Arial Unicode MS"/>
        <family val="2"/>
        <charset val="1"/>
      </rPr>
      <t xml:space="preserve">，安全性章节整体照搬医疗行业模板（「双向转诊系统」「患者信息</t>
    </r>
    <r>
      <rPr>
        <sz val="10"/>
        <rFont val="Arial"/>
        <family val="0"/>
        <charset val="1"/>
      </rPr>
      <t xml:space="preserve">/</t>
    </r>
    <r>
      <rPr>
        <sz val="10"/>
        <rFont val="Arial Unicode MS"/>
        <family val="2"/>
        <charset val="1"/>
      </rPr>
      <t xml:space="preserve">医疗影像」），接口章节夹带通信与呼叫中心术语（「单个</t>
    </r>
    <r>
      <rPr>
        <sz val="10"/>
        <rFont val="Arial"/>
        <family val="0"/>
        <charset val="1"/>
      </rPr>
      <t xml:space="preserve">A</t>
    </r>
    <r>
      <rPr>
        <sz val="10"/>
        <rFont val="Arial Unicode MS"/>
        <family val="2"/>
        <charset val="1"/>
      </rPr>
      <t xml:space="preserve">号码新增」「号码池</t>
    </r>
    <r>
      <rPr>
        <sz val="10"/>
        <rFont val="Arial"/>
        <family val="0"/>
        <charset val="1"/>
      </rPr>
      <t xml:space="preserve">/</t>
    </r>
    <r>
      <rPr>
        <sz val="10"/>
        <rFont val="Arial Unicode MS"/>
        <family val="2"/>
        <charset val="1"/>
      </rPr>
      <t xml:space="preserve">隐号网关」「呼入管理」），暴露出文档由多份异源模板拼接且未经通读校对。其次是关键指标自相矛盾：</t>
    </r>
    <r>
      <rPr>
        <sz val="10"/>
        <rFont val="Arial"/>
        <family val="0"/>
        <charset val="1"/>
      </rPr>
      <t xml:space="preserve">6.2</t>
    </r>
    <r>
      <rPr>
        <sz val="10"/>
        <rFont val="Arial Unicode MS"/>
        <family val="2"/>
        <charset val="1"/>
      </rPr>
      <t xml:space="preserve">性能指标三套吞吐量口径相差</t>
    </r>
    <r>
      <rPr>
        <sz val="10"/>
        <rFont val="Arial"/>
        <family val="0"/>
        <charset val="1"/>
      </rPr>
      <t xml:space="preserve">40</t>
    </r>
    <r>
      <rPr>
        <sz val="10"/>
        <rFont val="Arial Unicode MS"/>
        <family val="2"/>
        <charset val="1"/>
      </rPr>
      <t xml:space="preserve">倍、响应时间</t>
    </r>
    <r>
      <rPr>
        <sz val="10"/>
        <rFont val="Arial"/>
        <family val="0"/>
        <charset val="1"/>
      </rPr>
      <t xml:space="preserve">1.5</t>
    </r>
    <r>
      <rPr>
        <sz val="10"/>
        <rFont val="Arial Unicode MS"/>
        <family val="2"/>
        <charset val="1"/>
      </rPr>
      <t xml:space="preserve">秒与</t>
    </r>
    <r>
      <rPr>
        <sz val="10"/>
        <rFont val="Arial"/>
        <family val="0"/>
        <charset val="1"/>
      </rPr>
      <t xml:space="preserve">3</t>
    </r>
    <r>
      <rPr>
        <sz val="10"/>
        <rFont val="Arial Unicode MS"/>
        <family val="2"/>
        <charset val="1"/>
      </rPr>
      <t xml:space="preserve">秒并存，第</t>
    </r>
    <r>
      <rPr>
        <sz val="10"/>
        <rFont val="Arial"/>
        <family val="0"/>
        <charset val="1"/>
      </rPr>
      <t xml:space="preserve">8</t>
    </r>
    <r>
      <rPr>
        <sz val="10"/>
        <rFont val="Arial Unicode MS"/>
        <family val="2"/>
        <charset val="1"/>
      </rPr>
      <t xml:space="preserve">章</t>
    </r>
    <r>
      <rPr>
        <sz val="10"/>
        <rFont val="Arial"/>
        <family val="0"/>
        <charset val="1"/>
      </rPr>
      <t xml:space="preserve">AWS</t>
    </r>
    <r>
      <rPr>
        <sz val="10"/>
        <rFont val="Arial Unicode MS"/>
        <family val="2"/>
        <charset val="1"/>
      </rPr>
      <t xml:space="preserve">部署与</t>
    </r>
    <r>
      <rPr>
        <sz val="10"/>
        <rFont val="Arial"/>
        <family val="0"/>
        <charset val="1"/>
      </rPr>
      <t xml:space="preserve">6.3</t>
    </r>
    <r>
      <rPr>
        <sz val="10"/>
        <rFont val="Arial Unicode MS"/>
        <family val="2"/>
        <charset val="1"/>
      </rPr>
      <t xml:space="preserve">自主可控测评要求直接冲突，均属开发前必须裁决的架构级问题。第三是需求覆盖严重不完整：</t>
    </r>
    <r>
      <rPr>
        <sz val="10"/>
        <rFont val="Arial"/>
        <family val="0"/>
        <charset val="1"/>
      </rPr>
      <t xml:space="preserve">3.1</t>
    </r>
    <r>
      <rPr>
        <sz val="10"/>
        <rFont val="Arial Unicode MS"/>
        <family val="2"/>
        <charset val="1"/>
      </rPr>
      <t xml:space="preserve">宣称的</t>
    </r>
    <r>
      <rPr>
        <sz val="10"/>
        <rFont val="Arial"/>
        <family val="0"/>
        <charset val="1"/>
      </rPr>
      <t xml:space="preserve">11</t>
    </r>
    <r>
      <rPr>
        <sz val="10"/>
        <rFont val="Arial Unicode MS"/>
        <family val="2"/>
        <charset val="1"/>
      </rPr>
      <t xml:space="preserve">个模块仅</t>
    </r>
    <r>
      <rPr>
        <sz val="10"/>
        <rFont val="Arial"/>
        <family val="0"/>
        <charset val="1"/>
      </rPr>
      <t xml:space="preserve">7</t>
    </r>
    <r>
      <rPr>
        <sz val="10"/>
        <rFont val="Arial Unicode MS"/>
        <family val="2"/>
        <charset val="1"/>
      </rPr>
      <t xml:space="preserve">个在第</t>
    </r>
    <r>
      <rPr>
        <sz val="10"/>
        <rFont val="Arial"/>
        <family val="0"/>
        <charset val="1"/>
      </rPr>
      <t xml:space="preserve">4</t>
    </r>
    <r>
      <rPr>
        <sz val="10"/>
        <rFont val="Arial Unicode MS"/>
        <family val="2"/>
        <charset val="1"/>
      </rPr>
      <t xml:space="preserve">章展开，帐务管理、银行划帐、系统报表、系统管理、掌上机抄表近半个系统无任何需求描述，算费规则、角色权限矩阵、数据字典、业务流程图、接口错误码与冲红接口全部缺失。终审共确认</t>
    </r>
    <r>
      <rPr>
        <sz val="10"/>
        <rFont val="Arial"/>
        <family val="0"/>
        <charset val="1"/>
      </rPr>
      <t xml:space="preserve">41</t>
    </r>
    <r>
      <rPr>
        <sz val="10"/>
        <rFont val="Arial Unicode MS"/>
        <family val="2"/>
        <charset val="1"/>
      </rPr>
      <t xml:space="preserve">项问题（高</t>
    </r>
    <r>
      <rPr>
        <sz val="10"/>
        <rFont val="Arial"/>
        <family val="0"/>
        <charset val="1"/>
      </rPr>
      <t xml:space="preserve">18</t>
    </r>
    <r>
      <rPr>
        <sz val="10"/>
        <rFont val="Arial Unicode MS"/>
        <family val="2"/>
        <charset val="1"/>
      </rPr>
      <t xml:space="preserve">、中</t>
    </r>
    <r>
      <rPr>
        <sz val="10"/>
        <rFont val="Arial"/>
        <family val="0"/>
        <charset val="1"/>
      </rPr>
      <t xml:space="preserve">16</t>
    </r>
    <r>
      <rPr>
        <sz val="10"/>
        <rFont val="Arial Unicode MS"/>
        <family val="2"/>
        <charset val="1"/>
      </rPr>
      <t xml:space="preserve">、低</t>
    </r>
    <r>
      <rPr>
        <sz val="10"/>
        <rFont val="Arial"/>
        <family val="0"/>
        <charset val="1"/>
      </rPr>
      <t xml:space="preserve">7</t>
    </r>
    <r>
      <rPr>
        <sz val="10"/>
        <rFont val="Arial Unicode MS"/>
        <family val="2"/>
        <charset val="1"/>
      </rPr>
      <t xml:space="preserve">），其中信息缺失</t>
    </r>
    <r>
      <rPr>
        <sz val="10"/>
        <rFont val="Arial"/>
        <family val="0"/>
        <charset val="1"/>
      </rPr>
      <t xml:space="preserve">14</t>
    </r>
    <r>
      <rPr>
        <sz val="10"/>
        <rFont val="Arial Unicode MS"/>
        <family val="2"/>
        <charset val="1"/>
      </rPr>
      <t xml:space="preserve">项、模板残留</t>
    </r>
    <r>
      <rPr>
        <sz val="10"/>
        <rFont val="Arial"/>
        <family val="0"/>
        <charset val="1"/>
      </rPr>
      <t xml:space="preserve">7</t>
    </r>
    <r>
      <rPr>
        <sz val="10"/>
        <rFont val="Arial Unicode MS"/>
        <family val="2"/>
        <charset val="1"/>
      </rPr>
      <t xml:space="preserve">项居前两位。返工建议：先由业务方裁决范围口径与部署选型两项架构级矛盾，再集中清理全部模板残留与指标矛盾，补齐范围声明、术语表、需求编号、数据字典与角色权限等结构性缺失。评审结论：有条件通过——须完成全部</t>
    </r>
    <r>
      <rPr>
        <sz val="10"/>
        <rFont val="Arial"/>
        <family val="0"/>
        <charset val="1"/>
      </rPr>
      <t xml:space="preserve">18</t>
    </r>
    <r>
      <rPr>
        <sz val="10"/>
        <rFont val="Arial Unicode MS"/>
        <family val="2"/>
        <charset val="1"/>
      </rPr>
      <t xml:space="preserve">项高严重度问题整改并复审确认后，方可进入设计阶段；中低严重度问题应在下一版文档中一并修订。</t>
    </r>
  </si>
  <si>
    <t xml:space="preserve">问题总数</t>
  </si>
  <si>
    <t xml:space="preserve">高</t>
  </si>
  <si>
    <t xml:space="preserve">中</t>
  </si>
  <si>
    <t xml:space="preserve">低</t>
  </si>
  <si>
    <t xml:space="preserve">前后矛盾</t>
  </si>
  <si>
    <t xml:space="preserve">信息缺失</t>
  </si>
  <si>
    <t xml:space="preserve">歧义</t>
  </si>
  <si>
    <t xml:space="preserve">模板残留</t>
  </si>
  <si>
    <t xml:space="preserve">技术性错误</t>
  </si>
  <si>
    <t xml:space="preserve">错别字笔误</t>
  </si>
  <si>
    <t xml:space="preserve">模糊不可验证</t>
  </si>
  <si>
    <t xml:space="preserve">术语不一致</t>
  </si>
  <si>
    <r>
      <rPr>
        <i val="true"/>
        <sz val="9"/>
        <color rgb="FF808080"/>
        <rFont val="Arial Unicode MS"/>
        <family val="2"/>
        <charset val="1"/>
      </rPr>
      <t xml:space="preserve">（统计均为</t>
    </r>
    <r>
      <rPr>
        <i val="true"/>
        <sz val="9"/>
        <color rgb="FF808080"/>
        <rFont val="Arial"/>
        <family val="0"/>
        <charset val="1"/>
      </rPr>
      <t xml:space="preserve">COUNTIF</t>
    </r>
    <r>
      <rPr>
        <i val="true"/>
        <sz val="9"/>
        <color rgb="FF808080"/>
        <rFont val="Arial Unicode MS"/>
        <family val="2"/>
        <charset val="1"/>
      </rPr>
      <t xml:space="preserve">公式；严重度列条件格式：高</t>
    </r>
    <r>
      <rPr>
        <i val="true"/>
        <sz val="9"/>
        <color rgb="FF808080"/>
        <rFont val="Arial"/>
        <family val="0"/>
        <charset val="1"/>
      </rPr>
      <t xml:space="preserve">=</t>
    </r>
    <r>
      <rPr>
        <i val="true"/>
        <sz val="9"/>
        <color rgb="FF808080"/>
        <rFont val="Arial Unicode MS"/>
        <family val="2"/>
        <charset val="1"/>
      </rPr>
      <t xml:space="preserve">红底白字、中</t>
    </r>
    <r>
      <rPr>
        <i val="true"/>
        <sz val="9"/>
        <color rgb="FF808080"/>
        <rFont val="Arial"/>
        <family val="0"/>
        <charset val="1"/>
      </rPr>
      <t xml:space="preserve">=</t>
    </r>
    <r>
      <rPr>
        <i val="true"/>
        <sz val="9"/>
        <color rgb="FF808080"/>
        <rFont val="Arial Unicode MS"/>
        <family val="2"/>
        <charset val="1"/>
      </rPr>
      <t xml:space="preserve">黄底、低</t>
    </r>
    <r>
      <rPr>
        <i val="true"/>
        <sz val="9"/>
        <color rgb="FF808080"/>
        <rFont val="Arial"/>
        <family val="0"/>
        <charset val="1"/>
      </rPr>
      <t xml:space="preserve">=</t>
    </r>
    <r>
      <rPr>
        <i val="true"/>
        <sz val="9"/>
        <color rgb="FF808080"/>
        <rFont val="Arial Unicode MS"/>
        <family val="2"/>
        <charset val="1"/>
      </rPr>
      <t xml:space="preserve">灰字；首行冻结</t>
    </r>
    <r>
      <rPr>
        <i val="true"/>
        <sz val="9"/>
        <color rgb="FF808080"/>
        <rFont val="Arial"/>
        <family val="0"/>
        <charset val="1"/>
      </rPr>
      <t xml:space="preserve">+</t>
    </r>
    <r>
      <rPr>
        <i val="true"/>
        <sz val="9"/>
        <color rgb="FF808080"/>
        <rFont val="Arial Unicode MS"/>
        <family val="2"/>
        <charset val="1"/>
      </rPr>
      <t xml:space="preserve">自动筛选）</t>
    </r>
  </si>
  <si>
    <t xml:space="preserve">章节位置</t>
  </si>
  <si>
    <t xml:space="preserve">类别</t>
  </si>
  <si>
    <t xml:space="preserve">严重度</t>
  </si>
  <si>
    <t xml:space="preserve">原文摘录</t>
  </si>
  <si>
    <t xml:space="preserve">问题说明</t>
  </si>
  <si>
    <t xml:space="preserve">修改建议</t>
  </si>
  <si>
    <t xml:space="preserve">Q-001</t>
  </si>
  <si>
    <r>
      <rPr>
        <sz val="10"/>
        <rFont val="Arial"/>
        <family val="0"/>
        <charset val="1"/>
      </rPr>
      <t xml:space="preserve">3.1 </t>
    </r>
    <r>
      <rPr>
        <sz val="10"/>
        <rFont val="Arial Unicode MS"/>
        <family val="2"/>
        <charset val="1"/>
      </rPr>
      <t xml:space="preserve">供水营销管理系统简介 </t>
    </r>
    <r>
      <rPr>
        <sz val="10"/>
        <rFont val="Arial"/>
        <family val="0"/>
        <charset val="1"/>
      </rPr>
      <t xml:space="preserve">/ 3.3 </t>
    </r>
    <r>
      <rPr>
        <sz val="10"/>
        <rFont val="Arial Unicode MS"/>
        <family val="2"/>
        <charset val="1"/>
      </rPr>
      <t xml:space="preserve">系统功能清单（对照</t>
    </r>
    <r>
      <rPr>
        <sz val="10"/>
        <rFont val="Arial"/>
        <family val="0"/>
        <charset val="1"/>
      </rPr>
      <t xml:space="preserve">3.2</t>
    </r>
    <r>
      <rPr>
        <sz val="10"/>
        <rFont val="Arial Unicode MS"/>
        <family val="2"/>
        <charset val="1"/>
      </rPr>
      <t xml:space="preserve">与第</t>
    </r>
    <r>
      <rPr>
        <sz val="10"/>
        <rFont val="Arial"/>
        <family val="0"/>
        <charset val="1"/>
      </rPr>
      <t xml:space="preserve">4</t>
    </r>
    <r>
      <rPr>
        <sz val="10"/>
        <rFont val="Arial Unicode MS"/>
        <family val="2"/>
        <charset val="1"/>
      </rPr>
      <t xml:space="preserve">章）</t>
    </r>
  </si>
  <si>
    <t xml:space="preserve">营销平台提供：档案管理、水表管理、抄表管理、营业收费、票据管理、帐务管理、掌上机抄表管理、银行划帐、系统报表、系统管理、外部接口。</t>
  </si>
  <si>
    <r>
      <rPr>
        <sz val="10"/>
        <rFont val="Arial"/>
        <family val="0"/>
        <charset val="1"/>
      </rPr>
      <t xml:space="preserve">3.1</t>
    </r>
    <r>
      <rPr>
        <sz val="10"/>
        <rFont val="Arial Unicode MS"/>
        <family val="2"/>
        <charset val="1"/>
      </rPr>
      <t xml:space="preserve">宣称</t>
    </r>
    <r>
      <rPr>
        <sz val="10"/>
        <rFont val="Arial"/>
        <family val="0"/>
        <charset val="1"/>
      </rPr>
      <t xml:space="preserve">11</t>
    </r>
    <r>
      <rPr>
        <sz val="10"/>
        <rFont val="Arial Unicode MS"/>
        <family val="2"/>
        <charset val="1"/>
      </rPr>
      <t xml:space="preserve">个模块，</t>
    </r>
    <r>
      <rPr>
        <sz val="10"/>
        <rFont val="Arial"/>
        <family val="0"/>
        <charset val="1"/>
      </rPr>
      <t xml:space="preserve">3.2</t>
    </r>
    <r>
      <rPr>
        <sz val="10"/>
        <rFont val="Arial Unicode MS"/>
        <family val="2"/>
        <charset val="1"/>
      </rPr>
      <t xml:space="preserve">只描述了</t>
    </r>
    <r>
      <rPr>
        <sz val="10"/>
        <rFont val="Arial"/>
        <family val="0"/>
        <charset val="1"/>
      </rPr>
      <t xml:space="preserve">4</t>
    </r>
    <r>
      <rPr>
        <sz val="10"/>
        <rFont val="Arial Unicode MS"/>
        <family val="2"/>
        <charset val="1"/>
      </rPr>
      <t xml:space="preserve">个（档案</t>
    </r>
    <r>
      <rPr>
        <sz val="10"/>
        <rFont val="Arial"/>
        <family val="0"/>
        <charset val="1"/>
      </rPr>
      <t xml:space="preserve">/</t>
    </r>
    <r>
      <rPr>
        <sz val="10"/>
        <rFont val="Arial Unicode MS"/>
        <family val="2"/>
        <charset val="1"/>
      </rPr>
      <t xml:space="preserve">抄表</t>
    </r>
    <r>
      <rPr>
        <sz val="10"/>
        <rFont val="Arial"/>
        <family val="0"/>
        <charset val="1"/>
      </rPr>
      <t xml:space="preserve">/</t>
    </r>
    <r>
      <rPr>
        <sz val="10"/>
        <rFont val="Arial Unicode MS"/>
        <family val="2"/>
        <charset val="1"/>
      </rPr>
      <t xml:space="preserve">收费</t>
    </r>
    <r>
      <rPr>
        <sz val="10"/>
        <rFont val="Arial"/>
        <family val="0"/>
        <charset val="1"/>
      </rPr>
      <t xml:space="preserve">/</t>
    </r>
    <r>
      <rPr>
        <sz val="10"/>
        <rFont val="Arial Unicode MS"/>
        <family val="2"/>
        <charset val="1"/>
      </rPr>
      <t xml:space="preserve">表务），</t>
    </r>
    <r>
      <rPr>
        <sz val="10"/>
        <rFont val="Arial"/>
        <family val="0"/>
        <charset val="1"/>
      </rPr>
      <t xml:space="preserve">3.3</t>
    </r>
    <r>
      <rPr>
        <sz val="10"/>
        <rFont val="Arial Unicode MS"/>
        <family val="2"/>
        <charset val="1"/>
      </rPr>
      <t xml:space="preserve">功能清单与第</t>
    </r>
    <r>
      <rPr>
        <sz val="10"/>
        <rFont val="Arial"/>
        <family val="0"/>
        <charset val="1"/>
      </rPr>
      <t xml:space="preserve">4</t>
    </r>
    <r>
      <rPr>
        <sz val="10"/>
        <rFont val="Arial Unicode MS"/>
        <family val="2"/>
        <charset val="1"/>
      </rPr>
      <t xml:space="preserve">章仅覆盖</t>
    </r>
    <r>
      <rPr>
        <sz val="10"/>
        <rFont val="Arial"/>
        <family val="0"/>
        <charset val="1"/>
      </rPr>
      <t xml:space="preserve">7</t>
    </r>
    <r>
      <rPr>
        <sz val="10"/>
        <rFont val="Arial Unicode MS"/>
        <family val="2"/>
        <charset val="1"/>
      </rPr>
      <t xml:space="preserve">个一级模块</t>
    </r>
    <r>
      <rPr>
        <sz val="10"/>
        <rFont val="Arial"/>
        <family val="0"/>
        <charset val="1"/>
      </rPr>
      <t xml:space="preserve">24</t>
    </r>
    <r>
      <rPr>
        <sz val="10"/>
        <rFont val="Arial Unicode MS"/>
        <family val="2"/>
        <charset val="1"/>
      </rPr>
      <t xml:space="preserve">个二级功能（档案基础数据、抄表基础模块、收费数据基础、柜台收费业务、票据基础信息、水表基础数据、抄表计划）。帐务管理、掌上机抄表管理、银行划帐、系统报表、系统管理</t>
    </r>
    <r>
      <rPr>
        <sz val="10"/>
        <rFont val="Arial"/>
        <family val="0"/>
        <charset val="1"/>
      </rPr>
      <t xml:space="preserve">5</t>
    </r>
    <r>
      <rPr>
        <sz val="10"/>
        <rFont val="Arial Unicode MS"/>
        <family val="2"/>
        <charset val="1"/>
      </rPr>
      <t xml:space="preserve">个模块在</t>
    </r>
    <r>
      <rPr>
        <sz val="10"/>
        <rFont val="Arial"/>
        <family val="0"/>
        <charset val="1"/>
      </rPr>
      <t xml:space="preserve">3.3</t>
    </r>
    <r>
      <rPr>
        <sz val="10"/>
        <rFont val="Arial Unicode MS"/>
        <family val="2"/>
        <charset val="1"/>
      </rPr>
      <t xml:space="preserve">和第</t>
    </r>
    <r>
      <rPr>
        <sz val="10"/>
        <rFont val="Arial"/>
        <family val="0"/>
        <charset val="1"/>
      </rPr>
      <t xml:space="preserve">4</t>
    </r>
    <r>
      <rPr>
        <sz val="10"/>
        <rFont val="Arial Unicode MS"/>
        <family val="2"/>
        <charset val="1"/>
      </rPr>
      <t xml:space="preserve">章均无任何需求展开——接近半个系统无法据此设计、开发和测试；其中银行划帐（托收</t>
    </r>
    <r>
      <rPr>
        <sz val="10"/>
        <rFont val="Arial"/>
        <family val="0"/>
        <charset val="1"/>
      </rPr>
      <t xml:space="preserve">/</t>
    </r>
    <r>
      <rPr>
        <sz val="10"/>
        <rFont val="Arial Unicode MS"/>
        <family val="2"/>
        <charset val="1"/>
      </rPr>
      <t xml:space="preserve">代扣）也不同于</t>
    </r>
    <r>
      <rPr>
        <sz val="10"/>
        <rFont val="Arial"/>
        <family val="0"/>
        <charset val="1"/>
      </rPr>
      <t xml:space="preserve">5.2</t>
    </r>
    <r>
      <rPr>
        <sz val="10"/>
        <rFont val="Arial Unicode MS"/>
        <family val="2"/>
        <charset val="1"/>
      </rPr>
      <t xml:space="preserve">的银行代收接口，无任何补位。需求范围前后不一致，开发、报价、验收范围无法确定。</t>
    </r>
  </si>
  <si>
    <r>
      <rPr>
        <sz val="10"/>
        <rFont val="Arial Unicode MS"/>
        <family val="2"/>
        <charset val="1"/>
      </rPr>
      <t xml:space="preserve">统一三处口径并明确范围声明，如：「本期需求范围为</t>
    </r>
    <r>
      <rPr>
        <sz val="10"/>
        <rFont val="Arial"/>
        <family val="0"/>
        <charset val="1"/>
      </rPr>
      <t xml:space="preserve">7</t>
    </r>
    <r>
      <rPr>
        <sz val="10"/>
        <rFont val="Arial Unicode MS"/>
        <family val="2"/>
        <charset val="1"/>
      </rPr>
      <t xml:space="preserve">个一级模块</t>
    </r>
    <r>
      <rPr>
        <sz val="10"/>
        <rFont val="Arial"/>
        <family val="0"/>
        <charset val="1"/>
      </rPr>
      <t xml:space="preserve">24</t>
    </r>
    <r>
      <rPr>
        <sz val="10"/>
        <rFont val="Arial Unicode MS"/>
        <family val="2"/>
        <charset val="1"/>
      </rPr>
      <t xml:space="preserve">个二级功能及</t>
    </r>
    <r>
      <rPr>
        <sz val="10"/>
        <rFont val="Arial"/>
        <family val="0"/>
        <charset val="1"/>
      </rPr>
      <t xml:space="preserve">3</t>
    </r>
    <r>
      <rPr>
        <sz val="10"/>
        <rFont val="Arial Unicode MS"/>
        <family val="2"/>
        <charset val="1"/>
      </rPr>
      <t xml:space="preserve">个银行代收接口；帐务管理、银行划帐、系统报表、系统管理、掌上机抄表为后续阶段范围」，并同步修订</t>
    </r>
    <r>
      <rPr>
        <sz val="10"/>
        <rFont val="Arial"/>
        <family val="0"/>
        <charset val="1"/>
      </rPr>
      <t xml:space="preserve">3.1/3.2/3.3</t>
    </r>
    <r>
      <rPr>
        <sz val="10"/>
        <rFont val="Arial Unicode MS"/>
        <family val="2"/>
        <charset val="1"/>
      </rPr>
      <t xml:space="preserve">与第</t>
    </r>
    <r>
      <rPr>
        <sz val="10"/>
        <rFont val="Arial"/>
        <family val="0"/>
        <charset val="1"/>
      </rPr>
      <t xml:space="preserve">4</t>
    </r>
    <r>
      <rPr>
        <sz val="10"/>
        <rFont val="Arial Unicode MS"/>
        <family val="2"/>
        <charset val="1"/>
      </rPr>
      <t xml:space="preserve">章使之一致；若</t>
    </r>
    <r>
      <rPr>
        <sz val="10"/>
        <rFont val="Arial"/>
        <family val="0"/>
        <charset val="1"/>
      </rPr>
      <t xml:space="preserve">5</t>
    </r>
    <r>
      <rPr>
        <sz val="10"/>
        <rFont val="Arial Unicode MS"/>
        <family val="2"/>
        <charset val="1"/>
      </rPr>
      <t xml:space="preserve">个模块属本期范围，则须在</t>
    </r>
    <r>
      <rPr>
        <sz val="10"/>
        <rFont val="Arial"/>
        <family val="0"/>
        <charset val="1"/>
      </rPr>
      <t xml:space="preserve">3.3</t>
    </r>
    <r>
      <rPr>
        <sz val="10"/>
        <rFont val="Arial Unicode MS"/>
        <family val="2"/>
        <charset val="1"/>
      </rPr>
      <t xml:space="preserve">和第</t>
    </r>
    <r>
      <rPr>
        <sz val="10"/>
        <rFont val="Arial"/>
        <family val="0"/>
        <charset val="1"/>
      </rPr>
      <t xml:space="preserve">4</t>
    </r>
    <r>
      <rPr>
        <sz val="10"/>
        <rFont val="Arial Unicode MS"/>
        <family val="2"/>
        <charset val="1"/>
      </rPr>
      <t xml:space="preserve">章为帐务管理（日结</t>
    </r>
    <r>
      <rPr>
        <sz val="10"/>
        <rFont val="Arial"/>
        <family val="0"/>
        <charset val="1"/>
      </rPr>
      <t xml:space="preserve">/</t>
    </r>
    <r>
      <rPr>
        <sz val="10"/>
        <rFont val="Arial Unicode MS"/>
        <family val="2"/>
        <charset val="1"/>
      </rPr>
      <t xml:space="preserve">月结、财务对账、销账冲红）、掌上机抄表管理（任务下发、数据回传、异常上报）、银行划帐（托收文件生成</t>
    </r>
    <r>
      <rPr>
        <sz val="10"/>
        <rFont val="Arial"/>
        <family val="0"/>
        <charset val="1"/>
      </rPr>
      <t xml:space="preserve">/</t>
    </r>
    <r>
      <rPr>
        <sz val="10"/>
        <rFont val="Arial Unicode MS"/>
        <family val="2"/>
        <charset val="1"/>
      </rPr>
      <t xml:space="preserve">回盘处理）、系统报表（报表清单及口径）、系统管理（用户</t>
    </r>
    <r>
      <rPr>
        <sz val="10"/>
        <rFont val="Arial"/>
        <family val="0"/>
        <charset val="1"/>
      </rPr>
      <t xml:space="preserve">/</t>
    </r>
    <r>
      <rPr>
        <sz val="10"/>
        <rFont val="Arial Unicode MS"/>
        <family val="2"/>
        <charset val="1"/>
      </rPr>
      <t xml:space="preserve">角色</t>
    </r>
    <r>
      <rPr>
        <sz val="10"/>
        <rFont val="Arial"/>
        <family val="0"/>
        <charset val="1"/>
      </rPr>
      <t xml:space="preserve">/</t>
    </r>
    <r>
      <rPr>
        <sz val="10"/>
        <rFont val="Arial Unicode MS"/>
        <family val="2"/>
        <charset val="1"/>
      </rPr>
      <t xml:space="preserve">日志</t>
    </r>
    <r>
      <rPr>
        <sz val="10"/>
        <rFont val="Arial"/>
        <family val="0"/>
        <charset val="1"/>
      </rPr>
      <t xml:space="preserve">/</t>
    </r>
    <r>
      <rPr>
        <sz val="10"/>
        <rFont val="Arial Unicode MS"/>
        <family val="2"/>
        <charset val="1"/>
      </rPr>
      <t xml:space="preserve">参数）各补充二级功能分解和场景描述表。</t>
    </r>
  </si>
  <si>
    <t xml:space="preserve">待确认</t>
  </si>
  <si>
    <t xml:space="preserve">Q-002</t>
  </si>
  <si>
    <r>
      <rPr>
        <sz val="10"/>
        <rFont val="Arial"/>
        <family val="0"/>
        <charset val="1"/>
      </rPr>
      <t xml:space="preserve">3.2 </t>
    </r>
    <r>
      <rPr>
        <sz val="10"/>
        <rFont val="Arial Unicode MS"/>
        <family val="2"/>
        <charset val="1"/>
      </rPr>
      <t xml:space="preserve">系统总体功能</t>
    </r>
    <r>
      <rPr>
        <sz val="10"/>
        <rFont val="Arial"/>
        <family val="0"/>
        <charset val="1"/>
      </rPr>
      <t xml:space="preserve">-</t>
    </r>
    <r>
      <rPr>
        <sz val="10"/>
        <rFont val="Arial Unicode MS"/>
        <family val="2"/>
        <charset val="1"/>
      </rPr>
      <t xml:space="preserve">档案管理（对照</t>
    </r>
    <r>
      <rPr>
        <sz val="10"/>
        <rFont val="Arial"/>
        <family val="0"/>
        <charset val="1"/>
      </rPr>
      <t xml:space="preserve">4.1 </t>
    </r>
    <r>
      <rPr>
        <sz val="10"/>
        <rFont val="Arial Unicode MS"/>
        <family val="2"/>
        <charset val="1"/>
      </rPr>
      <t xml:space="preserve">档案基础数据）</t>
    </r>
  </si>
  <si>
    <t xml:space="preserve">管理客户立户档案，根据报装信息建立新客户档案，同时管理客户基本信息变更，如销户、过户、该表、缴费方式变更、银行信息变更等</t>
  </si>
  <si>
    <r>
      <rPr>
        <sz val="10"/>
        <rFont val="Arial"/>
        <family val="0"/>
        <charset val="1"/>
      </rPr>
      <t xml:space="preserve">3.2</t>
    </r>
    <r>
      <rPr>
        <sz val="10"/>
        <rFont val="Arial Unicode MS"/>
        <family val="2"/>
        <charset val="1"/>
      </rPr>
      <t xml:space="preserve">档案管理描述了立户、销户、过户、缴费方式变更、银行信息变更及档案变更跟踪等核心业务，但第</t>
    </r>
    <r>
      <rPr>
        <sz val="10"/>
        <rFont val="Arial"/>
        <family val="0"/>
        <charset val="1"/>
      </rPr>
      <t xml:space="preserve">4</t>
    </r>
    <r>
      <rPr>
        <sz val="10"/>
        <rFont val="Arial Unicode MS"/>
        <family val="2"/>
        <charset val="1"/>
      </rPr>
      <t xml:space="preserve">章对应的</t>
    </r>
    <r>
      <rPr>
        <sz val="10"/>
        <rFont val="Arial"/>
        <family val="0"/>
        <charset val="1"/>
      </rPr>
      <t xml:space="preserve">4.1</t>
    </r>
    <r>
      <rPr>
        <sz val="10"/>
        <rFont val="Arial Unicode MS"/>
        <family val="2"/>
        <charset val="1"/>
      </rPr>
      <t xml:space="preserve">档案基础数据仅有用户状态</t>
    </r>
    <r>
      <rPr>
        <sz val="10"/>
        <rFont val="Arial"/>
        <family val="0"/>
        <charset val="1"/>
      </rPr>
      <t xml:space="preserve">/</t>
    </r>
    <r>
      <rPr>
        <sz val="10"/>
        <rFont val="Arial Unicode MS"/>
        <family val="2"/>
        <charset val="1"/>
      </rPr>
      <t xml:space="preserve">用户分类</t>
    </r>
    <r>
      <rPr>
        <sz val="10"/>
        <rFont val="Arial"/>
        <family val="0"/>
        <charset val="1"/>
      </rPr>
      <t xml:space="preserve">/</t>
    </r>
    <r>
      <rPr>
        <sz val="10"/>
        <rFont val="Arial Unicode MS"/>
        <family val="2"/>
        <charset val="1"/>
      </rPr>
      <t xml:space="preserve">抄表周期</t>
    </r>
    <r>
      <rPr>
        <sz val="10"/>
        <rFont val="Arial"/>
        <family val="0"/>
        <charset val="1"/>
      </rPr>
      <t xml:space="preserve">/</t>
    </r>
    <r>
      <rPr>
        <sz val="10"/>
        <rFont val="Arial Unicode MS"/>
        <family val="2"/>
        <charset val="1"/>
      </rPr>
      <t xml:space="preserve">行业分类</t>
    </r>
    <r>
      <rPr>
        <sz val="10"/>
        <rFont val="Arial"/>
        <family val="0"/>
        <charset val="1"/>
      </rPr>
      <t xml:space="preserve">/</t>
    </r>
    <r>
      <rPr>
        <sz val="10"/>
        <rFont val="Arial Unicode MS"/>
        <family val="2"/>
        <charset val="1"/>
      </rPr>
      <t xml:space="preserve">优惠类型</t>
    </r>
    <r>
      <rPr>
        <sz val="10"/>
        <rFont val="Arial"/>
        <family val="0"/>
        <charset val="1"/>
      </rPr>
      <t xml:space="preserve">5</t>
    </r>
    <r>
      <rPr>
        <sz val="10"/>
        <rFont val="Arial Unicode MS"/>
        <family val="2"/>
        <charset val="1"/>
      </rPr>
      <t xml:space="preserve">个码表功能，立户</t>
    </r>
    <r>
      <rPr>
        <sz val="10"/>
        <rFont val="Arial"/>
        <family val="0"/>
        <charset val="1"/>
      </rPr>
      <t xml:space="preserve">/</t>
    </r>
    <r>
      <rPr>
        <sz val="10"/>
        <rFont val="Arial Unicode MS"/>
        <family val="2"/>
        <charset val="1"/>
      </rPr>
      <t xml:space="preserve">销户</t>
    </r>
    <r>
      <rPr>
        <sz val="10"/>
        <rFont val="Arial"/>
        <family val="0"/>
        <charset val="1"/>
      </rPr>
      <t xml:space="preserve">/</t>
    </r>
    <r>
      <rPr>
        <sz val="10"/>
        <rFont val="Arial Unicode MS"/>
        <family val="2"/>
        <charset val="1"/>
      </rPr>
      <t xml:space="preserve">过户等业务功能全部缺失详述，也无变更审批流程、欠费用户能否销户等业务规则。</t>
    </r>
  </si>
  <si>
    <r>
      <rPr>
        <sz val="10"/>
        <rFont val="Arial Unicode MS"/>
        <family val="2"/>
        <charset val="1"/>
      </rPr>
      <t xml:space="preserve">在第</t>
    </r>
    <r>
      <rPr>
        <sz val="10"/>
        <rFont val="Arial"/>
        <family val="0"/>
        <charset val="1"/>
      </rPr>
      <t xml:space="preserve">4</t>
    </r>
    <r>
      <rPr>
        <sz val="10"/>
        <rFont val="Arial Unicode MS"/>
        <family val="2"/>
        <charset val="1"/>
      </rPr>
      <t xml:space="preserve">章新增「档案管理」功能组，为立户（报装信息来源与必录字段）、销户（欠费校验规则）、过户、换表、缴费方式变更、档案变更历史查询分别编写场景描述表，并附业务流程图说明审批环节与状态流转。</t>
    </r>
  </si>
  <si>
    <t xml:space="preserve">Q-003</t>
  </si>
  <si>
    <r>
      <rPr>
        <sz val="10"/>
        <rFont val="Arial"/>
        <family val="0"/>
        <charset val="1"/>
      </rPr>
      <t xml:space="preserve">3.2 </t>
    </r>
    <r>
      <rPr>
        <sz val="10"/>
        <rFont val="Arial Unicode MS"/>
        <family val="2"/>
        <charset val="1"/>
      </rPr>
      <t xml:space="preserve">系统总体功能</t>
    </r>
    <r>
      <rPr>
        <sz val="10"/>
        <rFont val="Arial"/>
        <family val="0"/>
        <charset val="1"/>
      </rPr>
      <t xml:space="preserve">-</t>
    </r>
    <r>
      <rPr>
        <sz val="10"/>
        <rFont val="Arial Unicode MS"/>
        <family val="2"/>
        <charset val="1"/>
      </rPr>
      <t xml:space="preserve">抄表管理（对照</t>
    </r>
    <r>
      <rPr>
        <sz val="10"/>
        <rFont val="Arial"/>
        <family val="0"/>
        <charset val="1"/>
      </rPr>
      <t xml:space="preserve">4.7 </t>
    </r>
    <r>
      <rPr>
        <sz val="10"/>
        <rFont val="Arial Unicode MS"/>
        <family val="2"/>
        <charset val="1"/>
      </rPr>
      <t xml:space="preserve">抄表计划）</t>
    </r>
  </si>
  <si>
    <t xml:space="preserve">自动生成客户档期水费，同时提供水量异常减免、污水缓缴等功能</t>
  </si>
  <si>
    <r>
      <rPr>
        <sz val="10"/>
        <rFont val="Arial"/>
        <family val="0"/>
        <charset val="1"/>
      </rPr>
      <t xml:space="preserve">3.2</t>
    </r>
    <r>
      <rPr>
        <sz val="10"/>
        <rFont val="Arial Unicode MS"/>
        <family val="2"/>
        <charset val="1"/>
      </rPr>
      <t xml:space="preserve">抄表管理承诺的水费自动生成、水量异常报表监控、水量异常减免、污水缓缴，在第</t>
    </r>
    <r>
      <rPr>
        <sz val="10"/>
        <rFont val="Arial"/>
        <family val="0"/>
        <charset val="1"/>
      </rPr>
      <t xml:space="preserve">4</t>
    </r>
    <r>
      <rPr>
        <sz val="10"/>
        <rFont val="Arial Unicode MS"/>
        <family val="2"/>
        <charset val="1"/>
      </rPr>
      <t xml:space="preserve">章</t>
    </r>
    <r>
      <rPr>
        <sz val="10"/>
        <rFont val="Arial"/>
        <family val="0"/>
        <charset val="1"/>
      </rPr>
      <t xml:space="preserve">4.7</t>
    </r>
    <r>
      <rPr>
        <sz val="10"/>
        <rFont val="Arial Unicode MS"/>
        <family val="2"/>
        <charset val="1"/>
      </rPr>
      <t xml:space="preserve">抄表计划（仅手工录入</t>
    </r>
    <r>
      <rPr>
        <sz val="10"/>
        <rFont val="Arial"/>
        <family val="0"/>
        <charset val="1"/>
      </rPr>
      <t xml:space="preserve">/</t>
    </r>
    <r>
      <rPr>
        <sz val="10"/>
        <rFont val="Arial Unicode MS"/>
        <family val="2"/>
        <charset val="1"/>
      </rPr>
      <t xml:space="preserve">表格录入</t>
    </r>
    <r>
      <rPr>
        <sz val="10"/>
        <rFont val="Arial"/>
        <family val="0"/>
        <charset val="1"/>
      </rPr>
      <t xml:space="preserve">/</t>
    </r>
    <r>
      <rPr>
        <sz val="10"/>
        <rFont val="Arial Unicode MS"/>
        <family val="2"/>
        <charset val="1"/>
      </rPr>
      <t xml:space="preserve">数据导入</t>
    </r>
    <r>
      <rPr>
        <sz val="10"/>
        <rFont val="Arial"/>
        <family val="0"/>
        <charset val="1"/>
      </rPr>
      <t xml:space="preserve">3</t>
    </r>
    <r>
      <rPr>
        <sz val="10"/>
        <rFont val="Arial Unicode MS"/>
        <family val="2"/>
        <charset val="1"/>
      </rPr>
      <t xml:space="preserve">项）中均无对应功能；同样，</t>
    </r>
    <r>
      <rPr>
        <sz val="10"/>
        <rFont val="Arial"/>
        <family val="0"/>
        <charset val="1"/>
      </rPr>
      <t xml:space="preserve">3.2</t>
    </r>
    <r>
      <rPr>
        <sz val="10"/>
        <rFont val="Arial Unicode MS"/>
        <family val="2"/>
        <charset val="1"/>
      </rPr>
      <t xml:space="preserve">收费管理提到的银行托收、代扣、增值税发票打印在第</t>
    </r>
    <r>
      <rPr>
        <sz val="10"/>
        <rFont val="Arial"/>
        <family val="0"/>
        <charset val="1"/>
      </rPr>
      <t xml:space="preserve">4</t>
    </r>
    <r>
      <rPr>
        <sz val="10"/>
        <rFont val="Arial Unicode MS"/>
        <family val="2"/>
        <charset val="1"/>
      </rPr>
      <t xml:space="preserve">章也无落点。算费规则（阶梯水价、污水费、违约金）作为营销系统核心完全未描述。</t>
    </r>
  </si>
  <si>
    <r>
      <rPr>
        <sz val="10"/>
        <rFont val="Arial Unicode MS"/>
        <family val="2"/>
        <charset val="1"/>
      </rPr>
      <t xml:space="preserve">补充「水费计算」场景表（计费公式、阶梯水价与优惠类型如何参与计算、污水费</t>
    </r>
    <r>
      <rPr>
        <sz val="10"/>
        <rFont val="Arial"/>
        <family val="0"/>
        <charset val="1"/>
      </rPr>
      <t xml:space="preserve">/</t>
    </r>
    <r>
      <rPr>
        <sz val="10"/>
        <rFont val="Arial Unicode MS"/>
        <family val="2"/>
        <charset val="1"/>
      </rPr>
      <t xml:space="preserve">垃圾费附加规则）、「水量异常审核与减免」场景表（异常判定阈值、减免审批权限）、「污水缓缴」场景表；或在</t>
    </r>
    <r>
      <rPr>
        <sz val="10"/>
        <rFont val="Arial"/>
        <family val="0"/>
        <charset val="1"/>
      </rPr>
      <t xml:space="preserve">3.2</t>
    </r>
    <r>
      <rPr>
        <sz val="10"/>
        <rFont val="Arial Unicode MS"/>
        <family val="2"/>
        <charset val="1"/>
      </rPr>
      <t xml:space="preserve">中删除本期不实现的承诺性描述。</t>
    </r>
  </si>
  <si>
    <t xml:space="preserve">Q-004</t>
  </si>
  <si>
    <r>
      <rPr>
        <sz val="10"/>
        <rFont val="Arial"/>
        <family val="0"/>
        <charset val="1"/>
      </rPr>
      <t xml:space="preserve">3.2 </t>
    </r>
    <r>
      <rPr>
        <sz val="10"/>
        <rFont val="Arial Unicode MS"/>
        <family val="2"/>
        <charset val="1"/>
      </rPr>
      <t xml:space="preserve">系统总体功能</t>
    </r>
    <r>
      <rPr>
        <sz val="10"/>
        <rFont val="Arial"/>
        <family val="0"/>
        <charset val="1"/>
      </rPr>
      <t xml:space="preserve">-</t>
    </r>
    <r>
      <rPr>
        <sz val="10"/>
        <rFont val="Arial Unicode MS"/>
        <family val="2"/>
        <charset val="1"/>
      </rPr>
      <t xml:space="preserve">表务管理（对照</t>
    </r>
    <r>
      <rPr>
        <sz val="10"/>
        <rFont val="Arial"/>
        <family val="0"/>
        <charset val="1"/>
      </rPr>
      <t xml:space="preserve">4.6 </t>
    </r>
    <r>
      <rPr>
        <sz val="10"/>
        <rFont val="Arial Unicode MS"/>
        <family val="2"/>
        <charset val="1"/>
      </rPr>
      <t xml:space="preserve">水表基础数据）</t>
    </r>
  </si>
  <si>
    <t xml:space="preserve">管理水表日常操作如入库检验、表身号输录入库、出库、周期更换等信息记录</t>
  </si>
  <si>
    <r>
      <rPr>
        <sz val="10"/>
        <rFont val="Arial"/>
        <family val="0"/>
        <charset val="1"/>
      </rPr>
      <t xml:space="preserve">3.2</t>
    </r>
    <r>
      <rPr>
        <sz val="10"/>
        <rFont val="Arial Unicode MS"/>
        <family val="2"/>
        <charset val="1"/>
      </rPr>
      <t xml:space="preserve">表务管理承诺水表全生命周期管理（入库检验、出库、周期更换、拆表、换表、故障、检定、周检及全程状态跟踪），但第</t>
    </r>
    <r>
      <rPr>
        <sz val="10"/>
        <rFont val="Arial"/>
        <family val="0"/>
        <charset val="1"/>
      </rPr>
      <t xml:space="preserve">4</t>
    </r>
    <r>
      <rPr>
        <sz val="10"/>
        <rFont val="Arial Unicode MS"/>
        <family val="2"/>
        <charset val="1"/>
      </rPr>
      <t xml:space="preserve">章唯一相关的</t>
    </r>
    <r>
      <rPr>
        <sz val="10"/>
        <rFont val="Arial"/>
        <family val="0"/>
        <charset val="1"/>
      </rPr>
      <t xml:space="preserve">4.6</t>
    </r>
    <r>
      <rPr>
        <sz val="10"/>
        <rFont val="Arial Unicode MS"/>
        <family val="2"/>
        <charset val="1"/>
      </rPr>
      <t xml:space="preserve">水表基础数据只有类型</t>
    </r>
    <r>
      <rPr>
        <sz val="10"/>
        <rFont val="Arial"/>
        <family val="0"/>
        <charset val="1"/>
      </rPr>
      <t xml:space="preserve">/</t>
    </r>
    <r>
      <rPr>
        <sz val="10"/>
        <rFont val="Arial Unicode MS"/>
        <family val="2"/>
        <charset val="1"/>
      </rPr>
      <t xml:space="preserve">口径</t>
    </r>
    <r>
      <rPr>
        <sz val="10"/>
        <rFont val="Arial"/>
        <family val="0"/>
        <charset val="1"/>
      </rPr>
      <t xml:space="preserve">/</t>
    </r>
    <r>
      <rPr>
        <sz val="10"/>
        <rFont val="Arial Unicode MS"/>
        <family val="2"/>
        <charset val="1"/>
      </rPr>
      <t xml:space="preserve">参数</t>
    </r>
    <r>
      <rPr>
        <sz val="10"/>
        <rFont val="Arial"/>
        <family val="0"/>
        <charset val="1"/>
      </rPr>
      <t xml:space="preserve">/</t>
    </r>
    <r>
      <rPr>
        <sz val="10"/>
        <rFont val="Arial Unicode MS"/>
        <family val="2"/>
        <charset val="1"/>
      </rPr>
      <t xml:space="preserve">厂家</t>
    </r>
    <r>
      <rPr>
        <sz val="10"/>
        <rFont val="Arial"/>
        <family val="0"/>
        <charset val="1"/>
      </rPr>
      <t xml:space="preserve">4</t>
    </r>
    <r>
      <rPr>
        <sz val="10"/>
        <rFont val="Arial Unicode MS"/>
        <family val="2"/>
        <charset val="1"/>
      </rPr>
      <t xml:space="preserve">个静态码表功能，全部生命周期业务功能均无详述。开发无法实现「从入库到处理及周期更换的全程状态信息及跟踪」，测试也无依据。</t>
    </r>
  </si>
  <si>
    <r>
      <rPr>
        <sz val="10"/>
        <rFont val="Arial Unicode MS"/>
        <family val="2"/>
        <charset val="1"/>
      </rPr>
      <t xml:space="preserve">在第</t>
    </r>
    <r>
      <rPr>
        <sz val="10"/>
        <rFont val="Arial"/>
        <family val="0"/>
        <charset val="1"/>
      </rPr>
      <t xml:space="preserve">4</t>
    </r>
    <r>
      <rPr>
        <sz val="10"/>
        <rFont val="Arial Unicode MS"/>
        <family val="2"/>
        <charset val="1"/>
      </rPr>
      <t xml:space="preserve">章新增「</t>
    </r>
    <r>
      <rPr>
        <sz val="10"/>
        <rFont val="Arial"/>
        <family val="0"/>
        <charset val="1"/>
      </rPr>
      <t xml:space="preserve">4.x </t>
    </r>
    <r>
      <rPr>
        <sz val="10"/>
        <rFont val="Arial Unicode MS"/>
        <family val="2"/>
        <charset val="1"/>
      </rPr>
      <t xml:space="preserve">表务管理」小节，按场景表逐一描述：水表入库（含检验结果录入）、出库领用、装表</t>
    </r>
    <r>
      <rPr>
        <sz val="10"/>
        <rFont val="Arial"/>
        <family val="0"/>
        <charset val="1"/>
      </rPr>
      <t xml:space="preserve">/</t>
    </r>
    <r>
      <rPr>
        <sz val="10"/>
        <rFont val="Arial Unicode MS"/>
        <family val="2"/>
        <charset val="1"/>
      </rPr>
      <t xml:space="preserve">拆表</t>
    </r>
    <r>
      <rPr>
        <sz val="10"/>
        <rFont val="Arial"/>
        <family val="0"/>
        <charset val="1"/>
      </rPr>
      <t xml:space="preserve">/</t>
    </r>
    <r>
      <rPr>
        <sz val="10"/>
        <rFont val="Arial Unicode MS"/>
        <family val="2"/>
        <charset val="1"/>
      </rPr>
      <t xml:space="preserve">换表（含新旧表止度衔接规则）、水表检定与周检计划、水表状态机（在库</t>
    </r>
    <r>
      <rPr>
        <sz val="10"/>
        <rFont val="Arial"/>
        <family val="0"/>
        <charset val="1"/>
      </rPr>
      <t xml:space="preserve">-</t>
    </r>
    <r>
      <rPr>
        <sz val="10"/>
        <rFont val="Arial Unicode MS"/>
        <family val="2"/>
        <charset val="1"/>
      </rPr>
      <t xml:space="preserve">在装</t>
    </r>
    <r>
      <rPr>
        <sz val="10"/>
        <rFont val="Arial"/>
        <family val="0"/>
        <charset val="1"/>
      </rPr>
      <t xml:space="preserve">-</t>
    </r>
    <r>
      <rPr>
        <sz val="10"/>
        <rFont val="Arial Unicode MS"/>
        <family val="2"/>
        <charset val="1"/>
      </rPr>
      <t xml:space="preserve">待检</t>
    </r>
    <r>
      <rPr>
        <sz val="10"/>
        <rFont val="Arial"/>
        <family val="0"/>
        <charset val="1"/>
      </rPr>
      <t xml:space="preserve">-</t>
    </r>
    <r>
      <rPr>
        <sz val="10"/>
        <rFont val="Arial Unicode MS"/>
        <family val="2"/>
        <charset val="1"/>
      </rPr>
      <t xml:space="preserve">报废等状态及流转条件）。</t>
    </r>
  </si>
  <si>
    <t xml:space="preserve">Q-005</t>
  </si>
  <si>
    <r>
      <rPr>
        <sz val="10"/>
        <rFont val="Arial"/>
        <family val="0"/>
        <charset val="1"/>
      </rPr>
      <t xml:space="preserve">4.2.3 </t>
    </r>
    <r>
      <rPr>
        <sz val="10"/>
        <rFont val="Arial Unicode MS"/>
        <family val="2"/>
        <charset val="1"/>
      </rPr>
      <t xml:space="preserve">表册顺序调整、</t>
    </r>
    <r>
      <rPr>
        <sz val="10"/>
        <rFont val="Arial"/>
        <family val="0"/>
        <charset val="1"/>
      </rPr>
      <t xml:space="preserve">4.7.2 </t>
    </r>
    <r>
      <rPr>
        <sz val="10"/>
        <rFont val="Arial Unicode MS"/>
        <family val="2"/>
        <charset val="1"/>
      </rPr>
      <t xml:space="preserve">表格录入、</t>
    </r>
    <r>
      <rPr>
        <sz val="10"/>
        <rFont val="Arial"/>
        <family val="0"/>
        <charset val="1"/>
      </rPr>
      <t xml:space="preserve">4.7.3 </t>
    </r>
    <r>
      <rPr>
        <sz val="10"/>
        <rFont val="Arial Unicode MS"/>
        <family val="2"/>
        <charset val="1"/>
      </rPr>
      <t xml:space="preserve">抄表数据导入</t>
    </r>
    <r>
      <rPr>
        <sz val="10"/>
        <rFont val="Arial"/>
        <family val="0"/>
        <charset val="1"/>
      </rPr>
      <t xml:space="preserve">-</t>
    </r>
    <r>
      <rPr>
        <sz val="10"/>
        <rFont val="Arial Unicode MS"/>
        <family val="2"/>
        <charset val="1"/>
      </rPr>
      <t xml:space="preserve">输入</t>
    </r>
    <r>
      <rPr>
        <sz val="10"/>
        <rFont val="Arial"/>
        <family val="0"/>
        <charset val="1"/>
      </rPr>
      <t xml:space="preserve">/</t>
    </r>
    <r>
      <rPr>
        <sz val="10"/>
        <rFont val="Arial Unicode MS"/>
        <family val="2"/>
        <charset val="1"/>
      </rPr>
      <t xml:space="preserve">输出</t>
    </r>
  </si>
  <si>
    <t xml:space="preserve">无</t>
  </si>
  <si>
    <r>
      <rPr>
        <sz val="10"/>
        <rFont val="Arial Unicode MS"/>
        <family val="2"/>
        <charset val="1"/>
      </rPr>
      <t xml:space="preserve">这三个功能的输入、输出栏均填「无」，与功能本身明显不符：表格录入的输入必然是</t>
    </r>
    <r>
      <rPr>
        <sz val="10"/>
        <rFont val="Arial"/>
        <family val="0"/>
        <charset val="1"/>
      </rPr>
      <t xml:space="preserve">Excel</t>
    </r>
    <r>
      <rPr>
        <sz val="10"/>
        <rFont val="Arial Unicode MS"/>
        <family val="2"/>
        <charset val="1"/>
      </rPr>
      <t xml:space="preserve">抄表文件，抄表数据导入的输入是抄表机数据文件，顺序调整的输入是户号与目标顺序号；导入类功能也必然有成功</t>
    </r>
    <r>
      <rPr>
        <sz val="10"/>
        <rFont val="Arial"/>
        <family val="0"/>
        <charset val="1"/>
      </rPr>
      <t xml:space="preserve">/</t>
    </r>
    <r>
      <rPr>
        <sz val="10"/>
        <rFont val="Arial Unicode MS"/>
        <family val="2"/>
        <charset val="1"/>
      </rPr>
      <t xml:space="preserve">失败结果输出。连文件格式（</t>
    </r>
    <r>
      <rPr>
        <sz val="10"/>
        <rFont val="Arial"/>
        <family val="0"/>
        <charset val="1"/>
      </rPr>
      <t xml:space="preserve">Excel</t>
    </r>
    <r>
      <rPr>
        <sz val="10"/>
        <rFont val="Arial Unicode MS"/>
        <family val="2"/>
        <charset val="1"/>
      </rPr>
      <t xml:space="preserve">模板列定义、抄表机数据文件格式）、字段校验规则、重复导入与异常数据（读数倒走、跳变超阈值）的处理、导入结果反馈都没有定义，按现文开发无法确定文件格式、字段和校验规则，测试无预期结果可比对，完全无从下手。</t>
    </r>
  </si>
  <si>
    <r>
      <rPr>
        <sz val="10"/>
        <rFont val="Arial Unicode MS"/>
        <family val="2"/>
        <charset val="1"/>
      </rPr>
      <t xml:space="preserve">按实际补全：</t>
    </r>
    <r>
      <rPr>
        <sz val="10"/>
        <rFont val="Arial"/>
        <family val="0"/>
        <charset val="1"/>
      </rPr>
      <t xml:space="preserve">4.7.2</t>
    </r>
    <r>
      <rPr>
        <sz val="10"/>
        <rFont val="Arial Unicode MS"/>
        <family val="2"/>
        <charset val="1"/>
      </rPr>
      <t xml:space="preserve">输入</t>
    </r>
    <r>
      <rPr>
        <sz val="10"/>
        <rFont val="Arial"/>
        <family val="0"/>
        <charset val="1"/>
      </rPr>
      <t xml:space="preserve">=</t>
    </r>
    <r>
      <rPr>
        <sz val="10"/>
        <rFont val="Arial Unicode MS"/>
        <family val="2"/>
        <charset val="1"/>
      </rPr>
      <t xml:space="preserve">「按模板格式的</t>
    </r>
    <r>
      <rPr>
        <sz val="10"/>
        <rFont val="Arial"/>
        <family val="0"/>
        <charset val="1"/>
      </rPr>
      <t xml:space="preserve">Excel</t>
    </r>
    <r>
      <rPr>
        <sz val="10"/>
        <rFont val="Arial Unicode MS"/>
        <family val="2"/>
        <charset val="1"/>
      </rPr>
      <t xml:space="preserve">抄表文件（户号、本期行至、抄表日期等列）」、</t>
    </r>
    <r>
      <rPr>
        <sz val="10"/>
        <rFont val="Arial"/>
        <family val="0"/>
        <charset val="1"/>
      </rPr>
      <t xml:space="preserve">4.7.3</t>
    </r>
    <r>
      <rPr>
        <sz val="10"/>
        <rFont val="Arial Unicode MS"/>
        <family val="2"/>
        <charset val="1"/>
      </rPr>
      <t xml:space="preserve">注明抄表机数据文件格式，两者均补充校验规则（户号存在性、本期行至≥上期、水量超阈值预警）、异常行处理方式（整批回滚或跳过并输出错误清单），输出</t>
    </r>
    <r>
      <rPr>
        <sz val="10"/>
        <rFont val="Arial"/>
        <family val="0"/>
        <charset val="1"/>
      </rPr>
      <t xml:space="preserve">=</t>
    </r>
    <r>
      <rPr>
        <sz val="10"/>
        <rFont val="Arial Unicode MS"/>
        <family val="2"/>
        <charset val="1"/>
      </rPr>
      <t xml:space="preserve">「导入成功</t>
    </r>
    <r>
      <rPr>
        <sz val="10"/>
        <rFont val="Arial"/>
        <family val="0"/>
        <charset val="1"/>
      </rPr>
      <t xml:space="preserve">N</t>
    </r>
    <r>
      <rPr>
        <sz val="10"/>
        <rFont val="Arial Unicode MS"/>
        <family val="2"/>
        <charset val="1"/>
      </rPr>
      <t xml:space="preserve">条</t>
    </r>
    <r>
      <rPr>
        <sz val="10"/>
        <rFont val="Arial"/>
        <family val="0"/>
        <charset val="1"/>
      </rPr>
      <t xml:space="preserve">/</t>
    </r>
    <r>
      <rPr>
        <sz val="10"/>
        <rFont val="Arial Unicode MS"/>
        <family val="2"/>
        <charset val="1"/>
      </rPr>
      <t xml:space="preserve">失败</t>
    </r>
    <r>
      <rPr>
        <sz val="10"/>
        <rFont val="Arial"/>
        <family val="0"/>
        <charset val="1"/>
      </rPr>
      <t xml:space="preserve">M</t>
    </r>
    <r>
      <rPr>
        <sz val="10"/>
        <rFont val="Arial Unicode MS"/>
        <family val="2"/>
        <charset val="1"/>
      </rPr>
      <t xml:space="preserve">条及失败原因清单」；</t>
    </r>
    <r>
      <rPr>
        <sz val="10"/>
        <rFont val="Arial"/>
        <family val="0"/>
        <charset val="1"/>
      </rPr>
      <t xml:space="preserve">4.2.3</t>
    </r>
    <r>
      <rPr>
        <sz val="10"/>
        <rFont val="Arial Unicode MS"/>
        <family val="2"/>
        <charset val="1"/>
      </rPr>
      <t xml:space="preserve">输入</t>
    </r>
    <r>
      <rPr>
        <sz val="10"/>
        <rFont val="Arial"/>
        <family val="0"/>
        <charset val="1"/>
      </rPr>
      <t xml:space="preserve">=</t>
    </r>
    <r>
      <rPr>
        <sz val="10"/>
        <rFont val="Arial Unicode MS"/>
        <family val="2"/>
        <charset val="1"/>
      </rPr>
      <t xml:space="preserve">「表册号、户号、目标顺序号」、输出</t>
    </r>
    <r>
      <rPr>
        <sz val="10"/>
        <rFont val="Arial"/>
        <family val="0"/>
        <charset val="1"/>
      </rPr>
      <t xml:space="preserve">=</t>
    </r>
    <r>
      <rPr>
        <sz val="10"/>
        <rFont val="Arial Unicode MS"/>
        <family val="2"/>
        <charset val="1"/>
      </rPr>
      <t xml:space="preserve">「调整后的表册抄表顺序列表」。</t>
    </r>
  </si>
  <si>
    <t xml:space="preserve">Q-006</t>
  </si>
  <si>
    <r>
      <rPr>
        <sz val="10"/>
        <rFont val="Arial"/>
        <family val="0"/>
        <charset val="1"/>
      </rPr>
      <t xml:space="preserve">4.4.1 </t>
    </r>
    <r>
      <rPr>
        <sz val="10"/>
        <rFont val="Arial Unicode MS"/>
        <family val="2"/>
        <charset val="1"/>
      </rPr>
      <t xml:space="preserve">单户销账</t>
    </r>
    <r>
      <rPr>
        <sz val="10"/>
        <rFont val="Arial"/>
        <family val="0"/>
        <charset val="1"/>
      </rPr>
      <t xml:space="preserve">-</t>
    </r>
    <r>
      <rPr>
        <sz val="10"/>
        <rFont val="Arial Unicode MS"/>
        <family val="2"/>
        <charset val="1"/>
      </rPr>
      <t xml:space="preserve">输出</t>
    </r>
  </si>
  <si>
    <t xml:space="preserve">展示用户欠费信息列表</t>
  </si>
  <si>
    <r>
      <rPr>
        <sz val="10"/>
        <rFont val="Arial Unicode MS"/>
        <family val="2"/>
        <charset val="1"/>
      </rPr>
      <t xml:space="preserve">功能描述是「对选中的账单进行销账」，但输出只写了查询阶段的欠费列表，销账动作本身的结果（账单状态变为已缴、生成收费流水、打印票据、找零）完全未描述；部分缴费是否允许、滞纳金如何一并收取、重复销账如何拦截等业务规则和异常流缺失。全文</t>
    </r>
    <r>
      <rPr>
        <sz val="10"/>
        <rFont val="Arial"/>
        <family val="0"/>
        <charset val="1"/>
      </rPr>
      <t xml:space="preserve">24</t>
    </r>
    <r>
      <rPr>
        <sz val="10"/>
        <rFont val="Arial Unicode MS"/>
        <family val="2"/>
        <charset val="1"/>
      </rPr>
      <t xml:space="preserve">个场景表均无验收标准，补充说明几乎全为「无」，测试用例无法设计。</t>
    </r>
  </si>
  <si>
    <t xml:space="preserve">重写输出为「销账成功后账单状态更新为已缴、生成收费流水号并支持打印票据；失败时提示原因」，补充业务规则（是否允许部分缴费、滞纳金处理、必须按账期顺序销账等）和异常分支；为每个场景表增加「验收标准」行，给出可度量的预期结果。</t>
  </si>
  <si>
    <t xml:space="preserve">Q-007</t>
  </si>
  <si>
    <r>
      <rPr>
        <sz val="10"/>
        <rFont val="Arial"/>
        <family val="0"/>
        <charset val="1"/>
      </rPr>
      <t xml:space="preserve">4.4.3 </t>
    </r>
    <r>
      <rPr>
        <sz val="10"/>
        <rFont val="Arial Unicode MS"/>
        <family val="2"/>
        <charset val="1"/>
      </rPr>
      <t xml:space="preserve">预收费</t>
    </r>
    <r>
      <rPr>
        <sz val="10"/>
        <rFont val="Arial"/>
        <family val="0"/>
        <charset val="1"/>
      </rPr>
      <t xml:space="preserve">-</t>
    </r>
    <r>
      <rPr>
        <sz val="10"/>
        <rFont val="Arial Unicode MS"/>
        <family val="2"/>
        <charset val="1"/>
      </rPr>
      <t xml:space="preserve">功能描述</t>
    </r>
  </si>
  <si>
    <t xml:space="preserve">功能等同与单户销账，用户预存缴费，取款操作</t>
  </si>
  <si>
    <t xml:space="preserve">「功能等同与单户销账」（应为「等同于」）是模糊等价：预收费是预存款业务，与销账（核销欠费）业务规则本质不同，「等同」的范围（仅查询界面等同？还是收款流程等同？）无法确定；预存余额如何抵扣水费、「取款操作」的条件、审批和票据处理均未描述，核心业务规则完全缺失且涉及资金安全。</t>
  </si>
  <si>
    <r>
      <rPr>
        <sz val="10"/>
        <rFont val="Arial Unicode MS"/>
        <family val="2"/>
        <charset val="1"/>
      </rPr>
      <t xml:space="preserve">删除「功能等同与单户销账」，独立描述预收费规则：预存金额录入方式、预存余额抵扣水费的时点与顺序（如出账时自动抵扣）、取款（退预存）的前提条件与审批流程、预收与退款的票据处理；如仅界面交互类似单户销账，明确写「查询界面交互同</t>
    </r>
    <r>
      <rPr>
        <sz val="10"/>
        <rFont val="Arial"/>
        <family val="0"/>
        <charset val="1"/>
      </rPr>
      <t xml:space="preserve">4.4.1</t>
    </r>
    <r>
      <rPr>
        <sz val="10"/>
        <rFont val="Arial Unicode MS"/>
        <family val="2"/>
        <charset val="1"/>
      </rPr>
      <t xml:space="preserve">」。</t>
    </r>
  </si>
  <si>
    <t xml:space="preserve">Q-008</t>
  </si>
  <si>
    <r>
      <rPr>
        <sz val="10"/>
        <rFont val="Arial"/>
        <family val="0"/>
        <charset val="1"/>
      </rPr>
      <t xml:space="preserve">4.6.2 </t>
    </r>
    <r>
      <rPr>
        <sz val="10"/>
        <rFont val="Arial Unicode MS"/>
        <family val="2"/>
        <charset val="1"/>
      </rPr>
      <t xml:space="preserve">水表口径</t>
    </r>
    <r>
      <rPr>
        <sz val="10"/>
        <rFont val="Arial"/>
        <family val="0"/>
        <charset val="1"/>
      </rPr>
      <t xml:space="preserve">-</t>
    </r>
    <r>
      <rPr>
        <sz val="10"/>
        <rFont val="Arial Unicode MS"/>
        <family val="2"/>
        <charset val="1"/>
      </rPr>
      <t xml:space="preserve">功能描述（全文缺数据需求</t>
    </r>
    <r>
      <rPr>
        <sz val="10"/>
        <rFont val="Arial"/>
        <family val="0"/>
        <charset val="1"/>
      </rPr>
      <t xml:space="preserve">/</t>
    </r>
    <r>
      <rPr>
        <sz val="10"/>
        <rFont val="Arial Unicode MS"/>
        <family val="2"/>
        <charset val="1"/>
      </rPr>
      <t xml:space="preserve">数据字典）</t>
    </r>
  </si>
  <si>
    <t xml:space="preserve">可查询、编辑各个水表口径下的最大读数、换表读数、换表周期等信息</t>
  </si>
  <si>
    <t xml:space="preserve">全文没有数据需求或数据字典章节：用户档案、表册、账单、水表等核心实体的字段构成、类型、长度、必填性、取值范围均未定义，多处仅以「等信息」带过（如本条的「最大读数、换表读数、换表周期等」）。户号编码规则、金额精度、数据保存年限也未说明。数据库设计与界面字段只能靠开发自行猜测，验收时无对照依据。</t>
  </si>
  <si>
    <r>
      <rPr>
        <sz val="10"/>
        <rFont val="Arial Unicode MS"/>
        <family val="2"/>
        <charset val="1"/>
      </rPr>
      <t xml:space="preserve">增加「数据需求」章节：给出核心实体（客户档案、表册、水表、抄表记录、账单、缴费流水、票据）的数据字典表（字段名、类型、长度、必填、取值</t>
    </r>
    <r>
      <rPr>
        <sz val="10"/>
        <rFont val="Arial"/>
        <family val="0"/>
        <charset val="1"/>
      </rPr>
      <t xml:space="preserve">/</t>
    </r>
    <r>
      <rPr>
        <sz val="10"/>
        <rFont val="Arial Unicode MS"/>
        <family val="2"/>
        <charset val="1"/>
      </rPr>
      <t xml:space="preserve">编码规则），并明确户号编码规则、金额单位与精度、历史数据保存年限。</t>
    </r>
  </si>
  <si>
    <t xml:space="preserve">Q-009</t>
  </si>
  <si>
    <r>
      <rPr>
        <sz val="10"/>
        <rFont val="Arial"/>
        <family val="0"/>
        <charset val="1"/>
      </rPr>
      <t xml:space="preserve">4.6.4 </t>
    </r>
    <r>
      <rPr>
        <sz val="10"/>
        <rFont val="Arial Unicode MS"/>
        <family val="2"/>
        <charset val="1"/>
      </rPr>
      <t xml:space="preserve">水表厂家</t>
    </r>
    <r>
      <rPr>
        <sz val="10"/>
        <rFont val="Arial"/>
        <family val="0"/>
        <charset val="1"/>
      </rPr>
      <t xml:space="preserve">-</t>
    </r>
    <r>
      <rPr>
        <sz val="10"/>
        <rFont val="Arial Unicode MS"/>
        <family val="2"/>
        <charset val="1"/>
      </rPr>
      <t xml:space="preserve">输出</t>
    </r>
  </si>
  <si>
    <t xml:space="preserve">号码池内显示关联的隐号网关</t>
  </si>
  <si>
    <r>
      <rPr>
        <sz val="10"/>
        <rFont val="Arial Unicode MS"/>
        <family val="2"/>
        <charset val="1"/>
      </rPr>
      <t xml:space="preserve">「号码池」「隐号网关」是通信</t>
    </r>
    <r>
      <rPr>
        <sz val="10"/>
        <rFont val="Arial"/>
        <family val="0"/>
        <charset val="1"/>
      </rPr>
      <t xml:space="preserve">/</t>
    </r>
    <r>
      <rPr>
        <sz val="10"/>
        <rFont val="Arial Unicode MS"/>
        <family val="2"/>
        <charset val="1"/>
      </rPr>
      <t xml:space="preserve">隐私号码类项目的术语，与水表厂家管理毫无关系，系模板残留；真正的输出内容「展示系统所有的水表水表厂家」被错放在补充说明栏且有「水表水表」重复错字。输出定义错误将直接导致开发实现和测试预期错误。</t>
    </r>
  </si>
  <si>
    <r>
      <rPr>
        <sz val="10"/>
        <rFont val="Arial Unicode MS"/>
        <family val="2"/>
        <charset val="1"/>
      </rPr>
      <t xml:space="preserve">输出改为「展示系统当前的水表厂家列表（含启用</t>
    </r>
    <r>
      <rPr>
        <sz val="10"/>
        <rFont val="Arial"/>
        <family val="0"/>
        <charset val="1"/>
      </rPr>
      <t xml:space="preserve">/</t>
    </r>
    <r>
      <rPr>
        <sz val="10"/>
        <rFont val="Arial Unicode MS"/>
        <family val="2"/>
        <charset val="1"/>
      </rPr>
      <t xml:space="preserve">禁用状态）」；删除「号码池内显示关联的隐号网关」；补充说明栏恢复为「无」或填写真实约束，并修正「水表水表」为「水表」。</t>
    </r>
  </si>
  <si>
    <t xml:space="preserve">Q-010</t>
  </si>
  <si>
    <r>
      <rPr>
        <sz val="10"/>
        <rFont val="Arial"/>
        <family val="0"/>
        <charset val="1"/>
      </rPr>
      <t xml:space="preserve">5.2 </t>
    </r>
    <r>
      <rPr>
        <sz val="10"/>
        <rFont val="Arial Unicode MS"/>
        <family val="2"/>
        <charset val="1"/>
      </rPr>
      <t xml:space="preserve">对接第三方系统接口</t>
    </r>
  </si>
  <si>
    <t xml:space="preserve">包括用户信息查询、、用户销账、销账冲红、对账等功能</t>
  </si>
  <si>
    <r>
      <rPr>
        <sz val="10"/>
        <rFont val="Arial Unicode MS"/>
        <family val="2"/>
        <charset val="1"/>
      </rPr>
      <t xml:space="preserve">总述声明接口包含「销账冲红」，但</t>
    </r>
    <r>
      <rPr>
        <sz val="10"/>
        <rFont val="Arial"/>
        <family val="0"/>
        <charset val="1"/>
      </rPr>
      <t xml:space="preserve">5.2.1~5.2.3</t>
    </r>
    <r>
      <rPr>
        <sz val="10"/>
        <rFont val="Arial Unicode MS"/>
        <family val="2"/>
        <charset val="1"/>
      </rPr>
      <t xml:space="preserve">只定义了查询、销账、对账三个接口，冲红（冲正</t>
    </r>
    <r>
      <rPr>
        <sz val="10"/>
        <rFont val="Arial"/>
        <family val="0"/>
        <charset val="1"/>
      </rPr>
      <t xml:space="preserve">/</t>
    </r>
    <r>
      <rPr>
        <sz val="10"/>
        <rFont val="Arial Unicode MS"/>
        <family val="2"/>
        <charset val="1"/>
      </rPr>
      <t xml:space="preserve">退款）接口完全没有定义；银行代收场景中冲正是必备能力，缺失将导致联调时无法处理错缴退款。另外「查询、、用户销账」存在连续顿号笔误，「等功能」的「等」也使接口范围不封闭。</t>
    </r>
  </si>
  <si>
    <r>
      <rPr>
        <sz val="10"/>
        <rFont val="Arial Unicode MS"/>
        <family val="2"/>
        <charset val="1"/>
      </rPr>
      <t xml:space="preserve">补充「销账冲红」接口定义：请求地址、入参（</t>
    </r>
    <r>
      <rPr>
        <sz val="10"/>
        <rFont val="Arial"/>
        <family val="0"/>
        <charset val="1"/>
      </rPr>
      <t xml:space="preserve">bankentityno</t>
    </r>
    <r>
      <rPr>
        <sz val="10"/>
        <rFont val="Arial Unicode MS"/>
        <family val="2"/>
        <charset val="1"/>
      </rPr>
      <t xml:space="preserve">、原缴费流水号</t>
    </r>
    <r>
      <rPr>
        <sz val="10"/>
        <rFont val="Arial"/>
        <family val="0"/>
        <charset val="1"/>
      </rPr>
      <t xml:space="preserve">bankno</t>
    </r>
    <r>
      <rPr>
        <sz val="10"/>
        <rFont val="Arial Unicode MS"/>
        <family val="2"/>
        <charset val="1"/>
      </rPr>
      <t xml:space="preserve">、冲正金额、冲正日期等）、出参、幂等性与重复冲正的处理规则；删除多余顿号；将「等功能」改为封闭清单「共</t>
    </r>
    <r>
      <rPr>
        <sz val="10"/>
        <rFont val="Arial"/>
        <family val="0"/>
        <charset val="1"/>
      </rPr>
      <t xml:space="preserve">4</t>
    </r>
    <r>
      <rPr>
        <sz val="10"/>
        <rFont val="Arial Unicode MS"/>
        <family val="2"/>
        <charset val="1"/>
      </rPr>
      <t xml:space="preserve">个接口」。</t>
    </r>
  </si>
  <si>
    <t xml:space="preserve">Q-011</t>
  </si>
  <si>
    <r>
      <rPr>
        <sz val="10"/>
        <rFont val="Arial"/>
        <family val="0"/>
        <charset val="1"/>
      </rPr>
      <t xml:space="preserve">5.2.2 </t>
    </r>
    <r>
      <rPr>
        <sz val="10"/>
        <rFont val="Arial Unicode MS"/>
        <family val="2"/>
        <charset val="1"/>
      </rPr>
      <t xml:space="preserve">缴费单销账</t>
    </r>
    <r>
      <rPr>
        <sz val="10"/>
        <rFont val="Arial"/>
        <family val="0"/>
        <charset val="1"/>
      </rPr>
      <t xml:space="preserve">-</t>
    </r>
    <r>
      <rPr>
        <sz val="10"/>
        <rFont val="Arial Unicode MS"/>
        <family val="2"/>
        <charset val="1"/>
      </rPr>
      <t xml:space="preserve">入参</t>
    </r>
  </si>
  <si>
    <t xml:space="preserve">银行进账流水号，作为缴费、冲正、对账的凭证，不能重复</t>
  </si>
  <si>
    <r>
      <rPr>
        <sz val="10"/>
        <rFont val="Arial Unicode MS"/>
        <family val="2"/>
        <charset val="1"/>
      </rPr>
      <t xml:space="preserve">接口仅约定</t>
    </r>
    <r>
      <rPr>
        <sz val="10"/>
        <rFont val="Arial"/>
        <family val="0"/>
        <charset val="1"/>
      </rPr>
      <t xml:space="preserve">bankno</t>
    </r>
    <r>
      <rPr>
        <sz val="10"/>
        <rFont val="Arial Unicode MS"/>
        <family val="2"/>
        <charset val="1"/>
      </rPr>
      <t xml:space="preserve">不能重复，但未定义银行重复提交同一</t>
    </r>
    <r>
      <rPr>
        <sz val="10"/>
        <rFont val="Arial"/>
        <family val="0"/>
        <charset val="1"/>
      </rPr>
      <t xml:space="preserve">bankno</t>
    </r>
    <r>
      <rPr>
        <sz val="10"/>
        <rFont val="Arial Unicode MS"/>
        <family val="2"/>
        <charset val="1"/>
      </rPr>
      <t xml:space="preserve">时的返回语义（幂等地返回原销账结果，还是返回特定错误码）；三个接口的出参均只给出</t>
    </r>
    <r>
      <rPr>
        <sz val="10"/>
        <rFont val="Arial"/>
        <family val="0"/>
        <charset val="1"/>
      </rPr>
      <t xml:space="preserve">code="1"</t>
    </r>
    <r>
      <rPr>
        <sz val="10"/>
        <rFont val="Arial Unicode MS"/>
        <family val="2"/>
        <charset val="1"/>
      </rPr>
      <t xml:space="preserve">、</t>
    </r>
    <r>
      <rPr>
        <sz val="10"/>
        <rFont val="Arial"/>
        <family val="0"/>
        <charset val="1"/>
      </rPr>
      <t xml:space="preserve">msg="ok"</t>
    </r>
    <r>
      <rPr>
        <sz val="10"/>
        <rFont val="Arial Unicode MS"/>
        <family val="2"/>
        <charset val="1"/>
      </rPr>
      <t xml:space="preserve">的成功示例，无错误码表（户号不存在、金额不符、重复销账、系统繁忙等）；也未约定超时后银行端的重试</t>
    </r>
    <r>
      <rPr>
        <sz val="10"/>
        <rFont val="Arial"/>
        <family val="0"/>
        <charset val="1"/>
      </rPr>
      <t xml:space="preserve">/</t>
    </r>
    <r>
      <rPr>
        <sz val="10"/>
        <rFont val="Arial Unicode MS"/>
        <family val="2"/>
        <charset val="1"/>
      </rPr>
      <t xml:space="preserve">冲正策略与接口鉴权签名机制。银行端程序无法进行异常分支开发和联调。</t>
    </r>
  </si>
  <si>
    <r>
      <rPr>
        <sz val="10"/>
        <rFont val="Arial Unicode MS"/>
        <family val="2"/>
        <charset val="1"/>
      </rPr>
      <t xml:space="preserve">在</t>
    </r>
    <r>
      <rPr>
        <sz val="10"/>
        <rFont val="Arial"/>
        <family val="0"/>
        <charset val="1"/>
      </rPr>
      <t xml:space="preserve">5.1</t>
    </r>
    <r>
      <rPr>
        <sz val="10"/>
        <rFont val="Arial Unicode MS"/>
        <family val="2"/>
        <charset val="1"/>
      </rPr>
      <t xml:space="preserve">或</t>
    </r>
    <r>
      <rPr>
        <sz val="10"/>
        <rFont val="Arial"/>
        <family val="0"/>
        <charset val="1"/>
      </rPr>
      <t xml:space="preserve">5.2</t>
    </r>
    <r>
      <rPr>
        <sz val="10"/>
        <rFont val="Arial Unicode MS"/>
        <family val="2"/>
        <charset val="1"/>
      </rPr>
      <t xml:space="preserve">增加接口公共约定小节：完整错误码表（</t>
    </r>
    <r>
      <rPr>
        <sz val="10"/>
        <rFont val="Arial"/>
        <family val="0"/>
        <charset val="1"/>
      </rPr>
      <t xml:space="preserve">code</t>
    </r>
    <r>
      <rPr>
        <sz val="10"/>
        <rFont val="Arial Unicode MS"/>
        <family val="2"/>
        <charset val="1"/>
      </rPr>
      <t xml:space="preserve">取值及含义）、幂等约定（相同</t>
    </r>
    <r>
      <rPr>
        <sz val="10"/>
        <rFont val="Arial"/>
        <family val="0"/>
        <charset val="1"/>
      </rPr>
      <t xml:space="preserve">bankno</t>
    </r>
    <r>
      <rPr>
        <sz val="10"/>
        <rFont val="Arial Unicode MS"/>
        <family val="2"/>
        <charset val="1"/>
      </rPr>
      <t xml:space="preserve">重复请求返回首次销账结果及原</t>
    </r>
    <r>
      <rPr>
        <sz val="10"/>
        <rFont val="Arial"/>
        <family val="0"/>
        <charset val="1"/>
      </rPr>
      <t xml:space="preserve">pychargeid</t>
    </r>
    <r>
      <rPr>
        <sz val="10"/>
        <rFont val="Arial Unicode MS"/>
        <family val="2"/>
        <charset val="1"/>
      </rPr>
      <t xml:space="preserve">）、超时时间与超时后的处理（先查询后重发或发起冲正）、签名算法与密钥分配、报文加密要求。</t>
    </r>
  </si>
  <si>
    <t xml:space="preserve">Q-012</t>
  </si>
  <si>
    <r>
      <rPr>
        <sz val="10"/>
        <rFont val="Arial"/>
        <family val="0"/>
        <charset val="1"/>
      </rPr>
      <t xml:space="preserve">5.2.3 </t>
    </r>
    <r>
      <rPr>
        <sz val="10"/>
        <rFont val="Arial Unicode MS"/>
        <family val="2"/>
        <charset val="1"/>
      </rPr>
      <t xml:space="preserve">对账</t>
    </r>
  </si>
  <si>
    <t xml:space="preserve">呼入管理信息查询接口</t>
  </si>
  <si>
    <r>
      <rPr>
        <sz val="10"/>
        <rFont val="Arial Unicode MS"/>
        <family val="2"/>
        <charset val="1"/>
      </rPr>
      <t xml:space="preserve">「呼入管理」为呼叫中心系统术语残留，与银行代收对账毫无关系；该行处于</t>
    </r>
    <r>
      <rPr>
        <sz val="10"/>
        <rFont val="Arial"/>
        <family val="0"/>
        <charset val="1"/>
      </rPr>
      <t xml:space="preserve">5.2.3</t>
    </r>
    <r>
      <rPr>
        <sz val="10"/>
        <rFont val="Arial Unicode MS"/>
        <family val="2"/>
        <charset val="1"/>
      </rPr>
      <t xml:space="preserve">标题下的接口说明位置，与请求地址</t>
    </r>
    <r>
      <rPr>
        <sz val="10"/>
        <rFont val="Arial"/>
        <family val="0"/>
        <charset val="1"/>
      </rPr>
      <t xml:space="preserve">bankpay.checknotify</t>
    </r>
    <r>
      <rPr>
        <sz val="10"/>
        <rFont val="Arial Unicode MS"/>
        <family val="2"/>
        <charset val="1"/>
      </rPr>
      <t xml:space="preserve">、入参「</t>
    </r>
    <r>
      <rPr>
        <sz val="10"/>
        <rFont val="Arial"/>
        <family val="0"/>
        <charset val="1"/>
      </rPr>
      <t xml:space="preserve">DSDZ-</t>
    </r>
    <r>
      <rPr>
        <sz val="10"/>
        <rFont val="Arial Unicode MS"/>
        <family val="2"/>
        <charset val="1"/>
      </rPr>
      <t xml:space="preserve">代收对账文本」所描述的对账文件通知功能自相矛盾，会误导对接开发。</t>
    </r>
  </si>
  <si>
    <t xml:space="preserve">删除「呼入管理信息查询接口」，改为「银行代收对账文件通知接口：银行生成日对账文件后，调用本接口通知平台文件日期、存放路径及类型」。</t>
  </si>
  <si>
    <t xml:space="preserve">Q-013</t>
  </si>
  <si>
    <r>
      <rPr>
        <sz val="10"/>
        <rFont val="Arial"/>
        <family val="0"/>
        <charset val="1"/>
      </rPr>
      <t xml:space="preserve">5.2.3 </t>
    </r>
    <r>
      <rPr>
        <sz val="10"/>
        <rFont val="Arial Unicode MS"/>
        <family val="2"/>
        <charset val="1"/>
      </rPr>
      <t xml:space="preserve">对账</t>
    </r>
    <r>
      <rPr>
        <sz val="10"/>
        <rFont val="Arial"/>
        <family val="0"/>
        <charset val="1"/>
      </rPr>
      <t xml:space="preserve">-</t>
    </r>
    <r>
      <rPr>
        <sz val="10"/>
        <rFont val="Arial Unicode MS"/>
        <family val="2"/>
        <charset val="1"/>
      </rPr>
      <t xml:space="preserve">入参</t>
    </r>
  </si>
  <si>
    <r>
      <rPr>
        <sz val="10"/>
        <rFont val="Arial"/>
        <family val="0"/>
        <charset val="1"/>
      </rPr>
      <t xml:space="preserve">DSDZ-</t>
    </r>
    <r>
      <rPr>
        <sz val="10"/>
        <rFont val="Arial Unicode MS"/>
        <family val="2"/>
        <charset val="1"/>
      </rPr>
      <t xml:space="preserve">代收对账文本</t>
    </r>
  </si>
  <si>
    <r>
      <rPr>
        <sz val="10"/>
        <rFont val="Arial Unicode MS"/>
        <family val="2"/>
        <charset val="1"/>
      </rPr>
      <t xml:space="preserve">对账小节仅定义了「对账文件到达通知」接口，对账文件本身的记录格式（字段顺序、分隔符、金额单位、汇总行）完全未定义，文件通过什么通道存取（</t>
    </r>
    <r>
      <rPr>
        <sz val="10"/>
        <rFont val="Arial"/>
        <family val="0"/>
        <charset val="1"/>
      </rPr>
      <t xml:space="preserve">FTP/SFTP/</t>
    </r>
    <r>
      <rPr>
        <sz val="10"/>
        <rFont val="Arial Unicode MS"/>
        <family val="2"/>
        <charset val="1"/>
      </rPr>
      <t xml:space="preserve">共享目录）也未说明，对账不平（长款、短款、单边账）的处理流程和差错账调整机制缺失。双方无法据此开发对账程序。</t>
    </r>
  </si>
  <si>
    <r>
      <rPr>
        <sz val="10"/>
        <rFont val="Arial Unicode MS"/>
        <family val="2"/>
        <charset val="1"/>
      </rPr>
      <t xml:space="preserve">补充对账文件格式规范：明细记录字段定义（</t>
    </r>
    <r>
      <rPr>
        <sz val="10"/>
        <rFont val="Arial"/>
        <family val="0"/>
        <charset val="1"/>
      </rPr>
      <t xml:space="preserve">bankno</t>
    </r>
    <r>
      <rPr>
        <sz val="10"/>
        <rFont val="Arial Unicode MS"/>
        <family val="2"/>
        <charset val="1"/>
      </rPr>
      <t xml:space="preserve">、</t>
    </r>
    <r>
      <rPr>
        <sz val="10"/>
        <rFont val="Arial"/>
        <family val="0"/>
        <charset val="1"/>
      </rPr>
      <t xml:space="preserve">accno</t>
    </r>
    <r>
      <rPr>
        <sz val="10"/>
        <rFont val="Arial Unicode MS"/>
        <family val="2"/>
        <charset val="1"/>
      </rPr>
      <t xml:space="preserve">、</t>
    </r>
    <r>
      <rPr>
        <sz val="10"/>
        <rFont val="Arial"/>
        <family val="0"/>
        <charset val="1"/>
      </rPr>
      <t xml:space="preserve">payamount</t>
    </r>
    <r>
      <rPr>
        <sz val="10"/>
        <rFont val="Arial Unicode MS"/>
        <family val="2"/>
        <charset val="1"/>
      </rPr>
      <t xml:space="preserve">、</t>
    </r>
    <r>
      <rPr>
        <sz val="10"/>
        <rFont val="Arial"/>
        <family val="0"/>
        <charset val="1"/>
      </rPr>
      <t xml:space="preserve">paydate</t>
    </r>
    <r>
      <rPr>
        <sz val="10"/>
        <rFont val="Arial Unicode MS"/>
        <family val="2"/>
        <charset val="1"/>
      </rPr>
      <t xml:space="preserve">等，含分隔符与编码）、文件末行汇总记录（总笔数、总金额）、文件命名规则、传输通道及鉴权方式，并补充对账差错处理流程（不平时的通知、人工调账与冲正联动）。</t>
    </r>
  </si>
  <si>
    <t xml:space="preserve">Q-014</t>
  </si>
  <si>
    <r>
      <rPr>
        <sz val="10"/>
        <rFont val="Arial"/>
        <family val="0"/>
        <charset val="1"/>
      </rPr>
      <t xml:space="preserve">6.2 </t>
    </r>
    <r>
      <rPr>
        <sz val="10"/>
        <rFont val="Arial Unicode MS"/>
        <family val="2"/>
        <charset val="1"/>
      </rPr>
      <t xml:space="preserve">响应时间（响应时间与吞吐量全部指标）</t>
    </r>
  </si>
  <si>
    <r>
      <rPr>
        <sz val="10"/>
        <rFont val="Arial Unicode MS"/>
        <family val="2"/>
        <charset val="1"/>
      </rPr>
      <t xml:space="preserve">用户打开界面和提交事务的平均响应时间应低于 </t>
    </r>
    <r>
      <rPr>
        <sz val="10"/>
        <rFont val="Arial"/>
        <family val="0"/>
        <charset val="1"/>
      </rPr>
      <t xml:space="preserve">1.5 </t>
    </r>
    <r>
      <rPr>
        <sz val="10"/>
        <rFont val="Arial Unicode MS"/>
        <family val="2"/>
        <charset val="1"/>
      </rPr>
      <t xml:space="preserve">秒 …… 在网络正常传输情况下小于</t>
    </r>
    <r>
      <rPr>
        <sz val="10"/>
        <rFont val="Arial"/>
        <family val="0"/>
        <charset val="1"/>
      </rPr>
      <t xml:space="preserve">3</t>
    </r>
    <r>
      <rPr>
        <sz val="10"/>
        <rFont val="Arial Unicode MS"/>
        <family val="2"/>
        <charset val="1"/>
      </rPr>
      <t xml:space="preserve">秒；支持每秒处理的页面请求数：大于</t>
    </r>
    <r>
      <rPr>
        <sz val="10"/>
        <rFont val="Arial"/>
        <family val="0"/>
        <charset val="1"/>
      </rPr>
      <t xml:space="preserve">20000</t>
    </r>
    <r>
      <rPr>
        <sz val="10"/>
        <rFont val="Arial Unicode MS"/>
        <family val="2"/>
        <charset val="1"/>
      </rPr>
      <t xml:space="preserve">次 …… 每秒钟</t>
    </r>
    <r>
      <rPr>
        <sz val="10"/>
        <rFont val="Arial"/>
        <family val="0"/>
        <charset val="1"/>
      </rPr>
      <t xml:space="preserve">500</t>
    </r>
    <r>
      <rPr>
        <sz val="10"/>
        <rFont val="Arial Unicode MS"/>
        <family val="2"/>
        <charset val="1"/>
      </rPr>
      <t xml:space="preserve">个以上的并发请求</t>
    </r>
  </si>
  <si>
    <r>
      <rPr>
        <sz val="10"/>
        <rFont val="Arial Unicode MS"/>
        <family val="2"/>
        <charset val="1"/>
      </rPr>
      <t xml:space="preserve">同一节内指标互相矛盾、量级失真且无测量口径：页面平均响应先要求低于</t>
    </r>
    <r>
      <rPr>
        <sz val="10"/>
        <rFont val="Arial"/>
        <family val="0"/>
        <charset val="1"/>
      </rPr>
      <t xml:space="preserve">1.5</t>
    </r>
    <r>
      <rPr>
        <sz val="10"/>
        <rFont val="Arial Unicode MS"/>
        <family val="2"/>
        <charset val="1"/>
      </rPr>
      <t xml:space="preserve">秒，后又写「在网络正常传输情况下小于</t>
    </r>
    <r>
      <rPr>
        <sz val="10"/>
        <rFont val="Arial"/>
        <family val="0"/>
        <charset val="1"/>
      </rPr>
      <t xml:space="preserve">3</t>
    </r>
    <r>
      <rPr>
        <sz val="10"/>
        <rFont val="Arial Unicode MS"/>
        <family val="2"/>
        <charset val="1"/>
      </rPr>
      <t xml:space="preserve">秒」；吞吐量给出三个互相矛盾的口径——</t>
    </r>
    <r>
      <rPr>
        <sz val="10"/>
        <rFont val="Arial"/>
        <family val="0"/>
        <charset val="1"/>
      </rPr>
      <t xml:space="preserve">(1)</t>
    </r>
    <r>
      <rPr>
        <sz val="10"/>
        <rFont val="Arial Unicode MS"/>
        <family val="2"/>
        <charset val="1"/>
      </rPr>
      <t xml:space="preserve">「每秒处理的页面请求数大于</t>
    </r>
    <r>
      <rPr>
        <sz val="10"/>
        <rFont val="Arial"/>
        <family val="0"/>
        <charset val="1"/>
      </rPr>
      <t xml:space="preserve">20000</t>
    </r>
    <r>
      <rPr>
        <sz val="10"/>
        <rFont val="Arial Unicode MS"/>
        <family val="2"/>
        <charset val="1"/>
      </rPr>
      <t xml:space="preserve">次」、</t>
    </r>
    <r>
      <rPr>
        <sz val="10"/>
        <rFont val="Arial"/>
        <family val="0"/>
        <charset val="1"/>
      </rPr>
      <t xml:space="preserve">(2)</t>
    </r>
    <r>
      <rPr>
        <sz val="10"/>
        <rFont val="Arial Unicode MS"/>
        <family val="2"/>
        <charset val="1"/>
      </rPr>
      <t xml:space="preserve">「</t>
    </r>
    <r>
      <rPr>
        <sz val="10"/>
        <rFont val="Arial"/>
        <family val="0"/>
        <charset val="1"/>
      </rPr>
      <t xml:space="preserve">60000</t>
    </r>
    <r>
      <rPr>
        <sz val="10"/>
        <rFont val="Arial Unicode MS"/>
        <family val="2"/>
        <charset val="1"/>
      </rPr>
      <t xml:space="preserve">个并发用户（每用户每</t>
    </r>
    <r>
      <rPr>
        <sz val="10"/>
        <rFont val="Arial"/>
        <family val="0"/>
        <charset val="1"/>
      </rPr>
      <t xml:space="preserve">10</t>
    </r>
    <r>
      <rPr>
        <sz val="10"/>
        <rFont val="Arial Unicode MS"/>
        <family val="2"/>
        <charset val="1"/>
      </rPr>
      <t xml:space="preserve">秒</t>
    </r>
    <r>
      <rPr>
        <sz val="10"/>
        <rFont val="Arial"/>
        <family val="0"/>
        <charset val="1"/>
      </rPr>
      <t xml:space="preserve">1</t>
    </r>
    <r>
      <rPr>
        <sz val="10"/>
        <rFont val="Arial Unicode MS"/>
        <family val="2"/>
        <charset val="1"/>
      </rPr>
      <t xml:space="preserve">个请求）」换算即</t>
    </r>
    <r>
      <rPr>
        <sz val="10"/>
        <rFont val="Arial"/>
        <family val="0"/>
        <charset val="1"/>
      </rPr>
      <t xml:space="preserve">6000</t>
    </r>
    <r>
      <rPr>
        <sz val="10"/>
        <rFont val="Arial Unicode MS"/>
        <family val="2"/>
        <charset val="1"/>
      </rPr>
      <t xml:space="preserve">请求</t>
    </r>
    <r>
      <rPr>
        <sz val="10"/>
        <rFont val="Arial"/>
        <family val="0"/>
        <charset val="1"/>
      </rPr>
      <t xml:space="preserve">/</t>
    </r>
    <r>
      <rPr>
        <sz val="10"/>
        <rFont val="Arial Unicode MS"/>
        <family val="2"/>
        <charset val="1"/>
      </rPr>
      <t xml:space="preserve">秒、</t>
    </r>
    <r>
      <rPr>
        <sz val="10"/>
        <rFont val="Arial"/>
        <family val="0"/>
        <charset val="1"/>
      </rPr>
      <t xml:space="preserve">(3)</t>
    </r>
    <r>
      <rPr>
        <sz val="10"/>
        <rFont val="Arial Unicode MS"/>
        <family val="2"/>
        <charset val="1"/>
      </rPr>
      <t xml:space="preserve">「每秒钟</t>
    </r>
    <r>
      <rPr>
        <sz val="10"/>
        <rFont val="Arial"/>
        <family val="0"/>
        <charset val="1"/>
      </rPr>
      <t xml:space="preserve">500</t>
    </r>
    <r>
      <rPr>
        <sz val="10"/>
        <rFont val="Arial Unicode MS"/>
        <family val="2"/>
        <charset val="1"/>
      </rPr>
      <t xml:space="preserve">个以上的并发请求」，最大与最小相差</t>
    </r>
    <r>
      <rPr>
        <sz val="10"/>
        <rFont val="Arial"/>
        <family val="0"/>
        <charset val="1"/>
      </rPr>
      <t xml:space="preserve">40</t>
    </r>
    <r>
      <rPr>
        <sz val="10"/>
        <rFont val="Arial Unicode MS"/>
        <family val="2"/>
        <charset val="1"/>
      </rPr>
      <t xml:space="preserve">倍，</t>
    </r>
    <r>
      <rPr>
        <sz val="10"/>
        <rFont val="Arial"/>
        <family val="0"/>
        <charset val="1"/>
      </rPr>
      <t xml:space="preserve">20000</t>
    </r>
    <r>
      <rPr>
        <sz val="10"/>
        <rFont val="Arial Unicode MS"/>
        <family val="2"/>
        <charset val="1"/>
      </rPr>
      <t xml:space="preserve">与</t>
    </r>
    <r>
      <rPr>
        <sz val="10"/>
        <rFont val="Arial"/>
        <family val="0"/>
        <charset val="1"/>
      </rPr>
      <t xml:space="preserve">6000</t>
    </r>
    <r>
      <rPr>
        <sz val="10"/>
        <rFont val="Arial Unicode MS"/>
        <family val="2"/>
        <charset val="1"/>
      </rPr>
      <t xml:space="preserve">也相差</t>
    </r>
    <r>
      <rPr>
        <sz val="10"/>
        <rFont val="Arial"/>
        <family val="0"/>
        <charset val="1"/>
      </rPr>
      <t xml:space="preserve">3.3</t>
    </r>
    <r>
      <rPr>
        <sz val="10"/>
        <rFont val="Arial Unicode MS"/>
        <family val="2"/>
        <charset val="1"/>
      </rPr>
      <t xml:space="preserve">倍；「</t>
    </r>
    <r>
      <rPr>
        <sz val="10"/>
        <rFont val="Arial"/>
        <family val="0"/>
        <charset val="1"/>
      </rPr>
      <t xml:space="preserve">60000</t>
    </r>
    <r>
      <rPr>
        <sz val="10"/>
        <rFont val="Arial Unicode MS"/>
        <family val="2"/>
        <charset val="1"/>
      </rPr>
      <t xml:space="preserve">个并发用户」远超一个供水集团营销系统的实际用户量级，疑似大型平台模板指标照搬。按</t>
    </r>
    <r>
      <rPr>
        <sz val="10"/>
        <rFont val="Arial"/>
        <family val="0"/>
        <charset val="1"/>
      </rPr>
      <t xml:space="preserve">500/</t>
    </r>
    <r>
      <rPr>
        <sz val="10"/>
        <rFont val="Arial Unicode MS"/>
        <family val="2"/>
        <charset val="1"/>
      </rPr>
      <t xml:space="preserve">秒与按</t>
    </r>
    <r>
      <rPr>
        <sz val="10"/>
        <rFont val="Arial"/>
        <family val="0"/>
        <charset val="1"/>
      </rPr>
      <t xml:space="preserve">20000/</t>
    </r>
    <r>
      <rPr>
        <sz val="10"/>
        <rFont val="Arial Unicode MS"/>
        <family val="2"/>
        <charset val="1"/>
      </rPr>
      <t xml:space="preserve">秒采购服务器，硬件投入相差一个数量级；各指标均未说明测试环境、数据量、统计口径（平均值</t>
    </r>
    <r>
      <rPr>
        <sz val="10"/>
        <rFont val="Arial"/>
        <family val="0"/>
        <charset val="1"/>
      </rPr>
      <t xml:space="preserve">/P95</t>
    </r>
    <r>
      <rPr>
        <sz val="10"/>
        <rFont val="Arial Unicode MS"/>
        <family val="2"/>
        <charset val="1"/>
      </rPr>
      <t xml:space="preserve">），性能测试无法设计压测方案、无法裁定通过与否。</t>
    </r>
  </si>
  <si>
    <r>
      <rPr>
        <sz val="10"/>
        <rFont val="Arial Unicode MS"/>
        <family val="2"/>
        <charset val="1"/>
      </rPr>
      <t xml:space="preserve">由业务方按实际用户规模（在册用户数、缴费高峰时段）核定一组自洽指标并删除其余口径，例如：「页面打开与事务提交平均响应时间≤</t>
    </r>
    <r>
      <rPr>
        <sz val="10"/>
        <rFont val="Arial"/>
        <family val="0"/>
        <charset val="1"/>
      </rPr>
      <t xml:space="preserve">1.5s</t>
    </r>
    <r>
      <rPr>
        <sz val="10"/>
        <rFont val="Arial Unicode MS"/>
        <family val="2"/>
        <charset val="1"/>
      </rPr>
      <t xml:space="preserve">、</t>
    </r>
    <r>
      <rPr>
        <sz val="10"/>
        <rFont val="Arial"/>
        <family val="0"/>
        <charset val="1"/>
      </rPr>
      <t xml:space="preserve">P95≤3s</t>
    </r>
    <r>
      <rPr>
        <sz val="10"/>
        <rFont val="Arial Unicode MS"/>
        <family val="2"/>
        <charset val="1"/>
      </rPr>
      <t xml:space="preserve">；在线查询≤</t>
    </r>
    <r>
      <rPr>
        <sz val="10"/>
        <rFont val="Arial"/>
        <family val="0"/>
        <charset val="1"/>
      </rPr>
      <t xml:space="preserve">3s</t>
    </r>
    <r>
      <rPr>
        <sz val="10"/>
        <rFont val="Arial Unicode MS"/>
        <family val="2"/>
        <charset val="1"/>
      </rPr>
      <t xml:space="preserve">；高峰期支持并发在线用户</t>
    </r>
    <r>
      <rPr>
        <sz val="10"/>
        <rFont val="Arial"/>
        <family val="0"/>
        <charset val="1"/>
      </rPr>
      <t xml:space="preserve">X</t>
    </r>
    <r>
      <rPr>
        <sz val="10"/>
        <rFont val="Arial Unicode MS"/>
        <family val="2"/>
        <charset val="1"/>
      </rPr>
      <t xml:space="preserve">个、系统吞吐量≥</t>
    </r>
    <r>
      <rPr>
        <sz val="10"/>
        <rFont val="Arial"/>
        <family val="0"/>
        <charset val="1"/>
      </rPr>
      <t xml:space="preserve">Y</t>
    </r>
    <r>
      <rPr>
        <sz val="10"/>
        <rFont val="Arial Unicode MS"/>
        <family val="2"/>
        <charset val="1"/>
      </rPr>
      <t xml:space="preserve">请求</t>
    </r>
    <r>
      <rPr>
        <sz val="10"/>
        <rFont val="Arial"/>
        <family val="0"/>
        <charset val="1"/>
      </rPr>
      <t xml:space="preserve">/</t>
    </r>
    <r>
      <rPr>
        <sz val="10"/>
        <rFont val="Arial Unicode MS"/>
        <family val="2"/>
        <charset val="1"/>
      </rPr>
      <t xml:space="preserve">秒（按每用户每</t>
    </r>
    <r>
      <rPr>
        <sz val="10"/>
        <rFont val="Arial"/>
        <family val="0"/>
        <charset val="1"/>
      </rPr>
      <t xml:space="preserve">10</t>
    </r>
    <r>
      <rPr>
        <sz val="10"/>
        <rFont val="Arial Unicode MS"/>
        <family val="2"/>
        <charset val="1"/>
      </rPr>
      <t xml:space="preserve">秒</t>
    </r>
    <r>
      <rPr>
        <sz val="10"/>
        <rFont val="Arial"/>
        <family val="0"/>
        <charset val="1"/>
      </rPr>
      <t xml:space="preserve">1</t>
    </r>
    <r>
      <rPr>
        <sz val="10"/>
        <rFont val="Arial Unicode MS"/>
        <family val="2"/>
        <charset val="1"/>
      </rPr>
      <t xml:space="preserve">次请求换算）、成功率≥</t>
    </r>
    <r>
      <rPr>
        <sz val="10"/>
        <rFont val="Arial"/>
        <family val="0"/>
        <charset val="1"/>
      </rPr>
      <t xml:space="preserve">99%</t>
    </r>
    <r>
      <rPr>
        <sz val="10"/>
        <rFont val="Arial Unicode MS"/>
        <family val="2"/>
        <charset val="1"/>
      </rPr>
      <t xml:space="preserve">；测量条件：生产同配置压测环境、</t>
    </r>
    <r>
      <rPr>
        <sz val="10"/>
        <rFont val="Arial"/>
        <family val="0"/>
        <charset val="1"/>
      </rPr>
      <t xml:space="preserve">100</t>
    </r>
    <r>
      <rPr>
        <sz val="10"/>
        <rFont val="Arial Unicode MS"/>
        <family val="2"/>
        <charset val="1"/>
      </rPr>
      <t xml:space="preserve">万条记录基础数据、指定带宽」；删除</t>
    </r>
    <r>
      <rPr>
        <sz val="10"/>
        <rFont val="Arial"/>
        <family val="0"/>
        <charset val="1"/>
      </rPr>
      <t xml:space="preserve">20000</t>
    </r>
    <r>
      <rPr>
        <sz val="10"/>
        <rFont val="Arial Unicode MS"/>
        <family val="2"/>
        <charset val="1"/>
      </rPr>
      <t xml:space="preserve">次</t>
    </r>
    <r>
      <rPr>
        <sz val="10"/>
        <rFont val="Arial"/>
        <family val="0"/>
        <charset val="1"/>
      </rPr>
      <t xml:space="preserve">/</t>
    </r>
    <r>
      <rPr>
        <sz val="10"/>
        <rFont val="Arial Unicode MS"/>
        <family val="2"/>
        <charset val="1"/>
      </rPr>
      <t xml:space="preserve">秒、</t>
    </r>
    <r>
      <rPr>
        <sz val="10"/>
        <rFont val="Arial"/>
        <family val="0"/>
        <charset val="1"/>
      </rPr>
      <t xml:space="preserve">60000</t>
    </r>
    <r>
      <rPr>
        <sz val="10"/>
        <rFont val="Arial Unicode MS"/>
        <family val="2"/>
        <charset val="1"/>
      </rPr>
      <t xml:space="preserve">并发用户等无业务依据的指标或给出依据，</t>
    </r>
    <r>
      <rPr>
        <sz val="10"/>
        <rFont val="Arial"/>
        <family val="0"/>
        <charset val="1"/>
      </rPr>
      <t xml:space="preserve">X</t>
    </r>
    <r>
      <rPr>
        <sz val="10"/>
        <rFont val="Arial Unicode MS"/>
        <family val="2"/>
        <charset val="1"/>
      </rPr>
      <t xml:space="preserve">、</t>
    </r>
    <r>
      <rPr>
        <sz val="10"/>
        <rFont val="Arial"/>
        <family val="0"/>
        <charset val="1"/>
      </rPr>
      <t xml:space="preserve">Y</t>
    </r>
    <r>
      <rPr>
        <sz val="10"/>
        <rFont val="Arial Unicode MS"/>
        <family val="2"/>
        <charset val="1"/>
      </rPr>
      <t xml:space="preserve">只保留一组自洽数字。</t>
    </r>
  </si>
  <si>
    <t xml:space="preserve">Q-015</t>
  </si>
  <si>
    <r>
      <rPr>
        <sz val="10"/>
        <rFont val="Arial"/>
        <family val="0"/>
        <charset val="1"/>
      </rPr>
      <t xml:space="preserve">6.3.1 </t>
    </r>
    <r>
      <rPr>
        <sz val="10"/>
        <rFont val="Arial Unicode MS"/>
        <family val="2"/>
        <charset val="1"/>
      </rPr>
      <t xml:space="preserve">应用安全性要求、</t>
    </r>
    <r>
      <rPr>
        <sz val="10"/>
        <rFont val="Arial"/>
        <family val="0"/>
        <charset val="1"/>
      </rPr>
      <t xml:space="preserve">6.3.2.3 </t>
    </r>
    <r>
      <rPr>
        <sz val="10"/>
        <rFont val="Arial Unicode MS"/>
        <family val="2"/>
        <charset val="1"/>
      </rPr>
      <t xml:space="preserve">数据安全、</t>
    </r>
    <r>
      <rPr>
        <sz val="10"/>
        <rFont val="Arial"/>
        <family val="0"/>
        <charset val="1"/>
      </rPr>
      <t xml:space="preserve">6.3.2.4 </t>
    </r>
    <r>
      <rPr>
        <sz val="10"/>
        <rFont val="Arial Unicode MS"/>
        <family val="2"/>
        <charset val="1"/>
      </rPr>
      <t xml:space="preserve">数据采集安全保障</t>
    </r>
  </si>
  <si>
    <t xml:space="preserve">双向转诊系统具有访问控制功能 …… 医疗信息系统的数据包括患者信息、诊断信息、医疗影像、鉴别信息、重要业务数据、系统管理数据等等</t>
  </si>
  <si>
    <r>
      <rPr>
        <sz val="10"/>
        <rFont val="Arial Unicode MS"/>
        <family val="2"/>
        <charset val="1"/>
      </rPr>
      <t xml:space="preserve">安全性章节整体从医疗行业项目模板复制：</t>
    </r>
    <r>
      <rPr>
        <sz val="10"/>
        <rFont val="Arial"/>
        <family val="0"/>
        <charset val="1"/>
      </rPr>
      <t xml:space="preserve">6.3.1</t>
    </r>
    <r>
      <rPr>
        <sz val="10"/>
        <rFont val="Arial Unicode MS"/>
        <family val="2"/>
        <charset val="1"/>
      </rPr>
      <t xml:space="preserve">把访问控制、备份、漏洞修复等安全要求的责任主体写成「双向转诊系统」，</t>
    </r>
    <r>
      <rPr>
        <sz val="10"/>
        <rFont val="Arial"/>
        <family val="0"/>
        <charset val="1"/>
      </rPr>
      <t xml:space="preserve">6.3.2.3</t>
    </r>
    <r>
      <rPr>
        <sz val="10"/>
        <rFont val="Arial Unicode MS"/>
        <family val="2"/>
        <charset val="1"/>
      </rPr>
      <t xml:space="preserve">把保护对象写成「患者信息、诊断信息、医疗影像」，</t>
    </r>
    <r>
      <rPr>
        <sz val="10"/>
        <rFont val="Arial"/>
        <family val="0"/>
        <charset val="1"/>
      </rPr>
      <t xml:space="preserve">6.3.2.4</t>
    </r>
    <r>
      <rPr>
        <sz val="10"/>
        <rFont val="Arial Unicode MS"/>
        <family val="2"/>
        <charset val="1"/>
      </rPr>
      <t xml:space="preserve">的</t>
    </r>
    <r>
      <rPr>
        <sz val="10"/>
        <rFont val="Arial"/>
        <family val="0"/>
        <charset val="1"/>
      </rPr>
      <t xml:space="preserve">b)</t>
    </r>
    <r>
      <rPr>
        <sz val="10"/>
        <rFont val="Arial Unicode MS"/>
        <family val="2"/>
        <charset val="1"/>
      </rPr>
      <t xml:space="preserve">款、</t>
    </r>
    <r>
      <rPr>
        <sz val="10"/>
        <rFont val="Arial"/>
        <family val="0"/>
        <charset val="1"/>
      </rPr>
      <t xml:space="preserve">c)</t>
    </r>
    <r>
      <rPr>
        <sz val="10"/>
        <rFont val="Arial Unicode MS"/>
        <family val="2"/>
        <charset val="1"/>
      </rPr>
      <t xml:space="preserve">款（两次）及</t>
    </r>
    <r>
      <rPr>
        <sz val="10"/>
        <rFont val="Arial"/>
        <family val="0"/>
        <charset val="1"/>
      </rPr>
      <t xml:space="preserve">6.3.2.4.1</t>
    </r>
    <r>
      <rPr>
        <sz val="10"/>
        <rFont val="Arial Unicode MS"/>
        <family val="2"/>
        <charset val="1"/>
      </rPr>
      <t xml:space="preserve">数据存储</t>
    </r>
    <r>
      <rPr>
        <sz val="10"/>
        <rFont val="Arial"/>
        <family val="0"/>
        <charset val="1"/>
      </rPr>
      <t xml:space="preserve">a)</t>
    </r>
    <r>
      <rPr>
        <sz val="10"/>
        <rFont val="Arial Unicode MS"/>
        <family val="2"/>
        <charset val="1"/>
      </rPr>
      <t xml:space="preserve">款共</t>
    </r>
    <r>
      <rPr>
        <sz val="10"/>
        <rFont val="Arial"/>
        <family val="0"/>
        <charset val="1"/>
      </rPr>
      <t xml:space="preserve">4</t>
    </r>
    <r>
      <rPr>
        <sz val="10"/>
        <rFont val="Arial Unicode MS"/>
        <family val="2"/>
        <charset val="1"/>
      </rPr>
      <t xml:space="preserve">处要求保护「医疗信息资源」。保护对象与责任主体全面错位，导致供水营销系统真正需要保护的数据资产（用户档案、户号、抄表数据、账单与缴费流水、银行卡代收信息等个人金融相关信息）在全文中没有任何一处被定义保护级别和安全措施，数据安全需求形同虚设，等保测评和安全设计无法对应到本系统，安全测试范围失效。</t>
    </r>
  </si>
  <si>
    <r>
      <rPr>
        <sz val="10"/>
        <rFont val="Arial Unicode MS"/>
        <family val="2"/>
        <charset val="1"/>
      </rPr>
      <t xml:space="preserve">将「双向转诊系统」改为「供水营销管理系统」；</t>
    </r>
    <r>
      <rPr>
        <sz val="10"/>
        <rFont val="Arial"/>
        <family val="0"/>
        <charset val="1"/>
      </rPr>
      <t xml:space="preserve">6.3.2.3</t>
    </r>
    <r>
      <rPr>
        <sz val="10"/>
        <rFont val="Arial Unicode MS"/>
        <family val="2"/>
        <charset val="1"/>
      </rPr>
      <t xml:space="preserve">数据清单改写为「供水营销系统的数据包括用户档案信息、水表及抄表数据、账单与缴费流水、银行代收信息、鉴别信息、重要业务数据、系统管理数据等」；</t>
    </r>
    <r>
      <rPr>
        <sz val="10"/>
        <rFont val="Arial"/>
        <family val="0"/>
        <charset val="1"/>
      </rPr>
      <t xml:space="preserve">4</t>
    </r>
    <r>
      <rPr>
        <sz val="10"/>
        <rFont val="Arial Unicode MS"/>
        <family val="2"/>
        <charset val="1"/>
      </rPr>
      <t xml:space="preserve">处「医疗信息资源」统一改为「营销业务信息资源」，并对上述数据分类给出存储、传输、删除、备份的分级保护要求，逐条复核安全条款对本系统的适用性。</t>
    </r>
  </si>
  <si>
    <t xml:space="preserve">Q-016</t>
  </si>
  <si>
    <r>
      <rPr>
        <sz val="10"/>
        <rFont val="Arial"/>
        <family val="0"/>
        <charset val="1"/>
      </rPr>
      <t xml:space="preserve">6.3.1 </t>
    </r>
    <r>
      <rPr>
        <sz val="10"/>
        <rFont val="Arial Unicode MS"/>
        <family val="2"/>
        <charset val="1"/>
      </rPr>
      <t xml:space="preserve">应用安全性要求（全文缺用户角色与权限定义）</t>
    </r>
  </si>
  <si>
    <t xml:space="preserve">具有访问控制功能，包括用户登录访问控制、角色权限控制、目录级安全控制、文件属性安全控制等</t>
  </si>
  <si>
    <r>
      <rPr>
        <sz val="10"/>
        <rFont val="Arial"/>
        <family val="0"/>
        <charset val="1"/>
      </rPr>
      <t xml:space="preserve">6.3.1</t>
    </r>
    <r>
      <rPr>
        <sz val="10"/>
        <rFont val="Arial Unicode MS"/>
        <family val="2"/>
        <charset val="1"/>
      </rPr>
      <t xml:space="preserve">要求角色权限控制，但全文未定义任何用户角色（如营业厅收费员、抄表员、表务管理员、稽核员、系统管理员）及角色</t>
    </r>
    <r>
      <rPr>
        <sz val="10"/>
        <rFont val="Arial"/>
        <family val="0"/>
        <charset val="1"/>
      </rPr>
      <t xml:space="preserve">-</t>
    </r>
    <r>
      <rPr>
        <sz val="10"/>
        <rFont val="Arial Unicode MS"/>
        <family val="2"/>
        <charset val="1"/>
      </rPr>
      <t xml:space="preserve">功能权限矩阵；第</t>
    </r>
    <r>
      <rPr>
        <sz val="10"/>
        <rFont val="Arial"/>
        <family val="0"/>
        <charset val="1"/>
      </rPr>
      <t xml:space="preserve">4</t>
    </r>
    <r>
      <rPr>
        <sz val="10"/>
        <rFont val="Arial Unicode MS"/>
        <family val="2"/>
        <charset val="1"/>
      </rPr>
      <t xml:space="preserve">章所有操作序列一律写「登录供水营销管理系统账户」，未区分操作者。销账、冲红、预收费取款等资金敏感操作缺少岗位分离约束，权限模型无法设计，权限测试无依据。</t>
    </r>
  </si>
  <si>
    <r>
      <rPr>
        <sz val="10"/>
        <rFont val="Arial Unicode MS"/>
        <family val="2"/>
        <charset val="1"/>
      </rPr>
      <t xml:space="preserve">增加「用户角色与权限」小节：列出角色清单及职责，给出角色</t>
    </r>
    <r>
      <rPr>
        <sz val="10"/>
        <rFont val="Arial"/>
        <family val="0"/>
        <charset val="1"/>
      </rPr>
      <t xml:space="preserve">×</t>
    </r>
    <r>
      <rPr>
        <sz val="10"/>
        <rFont val="Arial Unicode MS"/>
        <family val="2"/>
        <charset val="1"/>
      </rPr>
      <t xml:space="preserve">二级功能的权限矩阵（查询</t>
    </r>
    <r>
      <rPr>
        <sz val="10"/>
        <rFont val="Arial"/>
        <family val="0"/>
        <charset val="1"/>
      </rPr>
      <t xml:space="preserve">/</t>
    </r>
    <r>
      <rPr>
        <sz val="10"/>
        <rFont val="Arial Unicode MS"/>
        <family val="2"/>
        <charset val="1"/>
      </rPr>
      <t xml:space="preserve">新增</t>
    </r>
    <r>
      <rPr>
        <sz val="10"/>
        <rFont val="Arial"/>
        <family val="0"/>
        <charset val="1"/>
      </rPr>
      <t xml:space="preserve">/</t>
    </r>
    <r>
      <rPr>
        <sz val="10"/>
        <rFont val="Arial Unicode MS"/>
        <family val="2"/>
        <charset val="1"/>
      </rPr>
      <t xml:space="preserve">修改</t>
    </r>
    <r>
      <rPr>
        <sz val="10"/>
        <rFont val="Arial"/>
        <family val="0"/>
        <charset val="1"/>
      </rPr>
      <t xml:space="preserve">/</t>
    </r>
    <r>
      <rPr>
        <sz val="10"/>
        <rFont val="Arial Unicode MS"/>
        <family val="2"/>
        <charset val="1"/>
      </rPr>
      <t xml:space="preserve">删除</t>
    </r>
    <r>
      <rPr>
        <sz val="10"/>
        <rFont val="Arial"/>
        <family val="0"/>
        <charset val="1"/>
      </rPr>
      <t xml:space="preserve">/</t>
    </r>
    <r>
      <rPr>
        <sz val="10"/>
        <rFont val="Arial Unicode MS"/>
        <family val="2"/>
        <charset val="1"/>
      </rPr>
      <t xml:space="preserve">审核），并对销账冲红、预收费取款等资金操作明确复核（经办</t>
    </r>
    <r>
      <rPr>
        <sz val="10"/>
        <rFont val="Arial"/>
        <family val="0"/>
        <charset val="1"/>
      </rPr>
      <t xml:space="preserve">-</t>
    </r>
    <r>
      <rPr>
        <sz val="10"/>
        <rFont val="Arial Unicode MS"/>
        <family val="2"/>
        <charset val="1"/>
      </rPr>
      <t xml:space="preserve">审核分离）要求；第</t>
    </r>
    <r>
      <rPr>
        <sz val="10"/>
        <rFont val="Arial"/>
        <family val="0"/>
        <charset val="1"/>
      </rPr>
      <t xml:space="preserve">4</t>
    </r>
    <r>
      <rPr>
        <sz val="10"/>
        <rFont val="Arial Unicode MS"/>
        <family val="2"/>
        <charset val="1"/>
      </rPr>
      <t xml:space="preserve">章各场景表的操作序列注明执行角色。</t>
    </r>
  </si>
  <si>
    <t xml:space="preserve">Q-017</t>
  </si>
  <si>
    <r>
      <rPr>
        <sz val="10"/>
        <rFont val="Arial"/>
        <family val="0"/>
        <charset val="1"/>
      </rPr>
      <t xml:space="preserve">6.3.2.4.1 </t>
    </r>
    <r>
      <rPr>
        <sz val="10"/>
        <rFont val="Arial Unicode MS"/>
        <family val="2"/>
        <charset val="1"/>
      </rPr>
      <t xml:space="preserve">数据存储</t>
    </r>
    <r>
      <rPr>
        <sz val="10"/>
        <rFont val="Arial"/>
        <family val="0"/>
        <charset val="1"/>
      </rPr>
      <t xml:space="preserve">-c)</t>
    </r>
  </si>
  <si>
    <r>
      <rPr>
        <sz val="10"/>
        <rFont val="Arial Unicode MS"/>
        <family val="2"/>
        <charset val="1"/>
      </rPr>
      <t xml:space="preserve">采用对称加密密钥实现对用户的签名验证和存储请求加密、采用</t>
    </r>
    <r>
      <rPr>
        <sz val="10"/>
        <rFont val="Arial"/>
        <family val="0"/>
        <charset val="1"/>
      </rPr>
      <t xml:space="preserve">MD5</t>
    </r>
    <r>
      <rPr>
        <sz val="10"/>
        <rFont val="Arial Unicode MS"/>
        <family val="2"/>
        <charset val="1"/>
      </rPr>
      <t xml:space="preserve">算法实现对消息体的加密</t>
    </r>
  </si>
  <si>
    <r>
      <rPr>
        <sz val="10"/>
        <rFont val="Arial Unicode MS"/>
        <family val="2"/>
        <charset val="1"/>
      </rPr>
      <t xml:space="preserve">存在两处技术错误：</t>
    </r>
    <r>
      <rPr>
        <sz val="10"/>
        <rFont val="Arial"/>
        <family val="0"/>
        <charset val="1"/>
      </rPr>
      <t xml:space="preserve">MD5</t>
    </r>
    <r>
      <rPr>
        <sz val="10"/>
        <rFont val="Arial Unicode MS"/>
        <family val="2"/>
        <charset val="1"/>
      </rPr>
      <t xml:space="preserve">是摘要（哈希）算法而非加密算法，且已被证实存在碰撞攻击，不满足安全要求；数字签名验证依赖非对称密钥体系，用「对称加密密钥」做签名验证在密码学上不成立。照此实现会在涉及缴费资金的系统中留下安全缺陷，也无法通过等保测评。</t>
    </r>
  </si>
  <si>
    <r>
      <rPr>
        <sz val="10"/>
        <rFont val="Arial Unicode MS"/>
        <family val="2"/>
        <charset val="1"/>
      </rPr>
      <t xml:space="preserve">改为：「采用</t>
    </r>
    <r>
      <rPr>
        <sz val="10"/>
        <rFont val="Arial"/>
        <family val="0"/>
        <charset val="1"/>
      </rPr>
      <t xml:space="preserve">HTTPS/TLS 1.2</t>
    </r>
    <r>
      <rPr>
        <sz val="10"/>
        <rFont val="Arial Unicode MS"/>
        <family val="2"/>
        <charset val="1"/>
      </rPr>
      <t xml:space="preserve">及以上实现端到端传输加密；消息完整性校验采用</t>
    </r>
    <r>
      <rPr>
        <sz val="10"/>
        <rFont val="Arial"/>
        <family val="0"/>
        <charset val="1"/>
      </rPr>
      <t xml:space="preserve">SHA-256</t>
    </r>
    <r>
      <rPr>
        <sz val="10"/>
        <rFont val="Arial Unicode MS"/>
        <family val="2"/>
        <charset val="1"/>
      </rPr>
      <t xml:space="preserve">及以上摘要算法；签名验证采用非对称算法（</t>
    </r>
    <r>
      <rPr>
        <sz val="10"/>
        <rFont val="Arial"/>
        <family val="0"/>
        <charset val="1"/>
      </rPr>
      <t xml:space="preserve">RSA2048</t>
    </r>
    <r>
      <rPr>
        <sz val="10"/>
        <rFont val="Arial Unicode MS"/>
        <family val="2"/>
        <charset val="1"/>
      </rPr>
      <t xml:space="preserve">或</t>
    </r>
    <r>
      <rPr>
        <sz val="10"/>
        <rFont val="Arial"/>
        <family val="0"/>
        <charset val="1"/>
      </rPr>
      <t xml:space="preserve">SM2</t>
    </r>
    <r>
      <rPr>
        <sz val="10"/>
        <rFont val="Arial Unicode MS"/>
        <family val="2"/>
        <charset val="1"/>
      </rPr>
      <t xml:space="preserve">）」；删除「</t>
    </r>
    <r>
      <rPr>
        <sz val="10"/>
        <rFont val="Arial"/>
        <family val="0"/>
        <charset val="1"/>
      </rPr>
      <t xml:space="preserve">MD5</t>
    </r>
    <r>
      <rPr>
        <sz val="10"/>
        <rFont val="Arial Unicode MS"/>
        <family val="2"/>
        <charset val="1"/>
      </rPr>
      <t xml:space="preserve">加密」「对称密钥签名验证」的表述。</t>
    </r>
  </si>
  <si>
    <t xml:space="preserve">Q-018</t>
  </si>
  <si>
    <r>
      <rPr>
        <sz val="10"/>
        <rFont val="Arial"/>
        <family val="0"/>
        <charset val="1"/>
      </rPr>
      <t xml:space="preserve">8 </t>
    </r>
    <r>
      <rPr>
        <sz val="10"/>
        <rFont val="Arial Unicode MS"/>
        <family val="2"/>
        <charset val="1"/>
      </rPr>
      <t xml:space="preserve">系统部署要求（对照</t>
    </r>
    <r>
      <rPr>
        <sz val="10"/>
        <rFont val="Arial"/>
        <family val="0"/>
        <charset val="1"/>
      </rPr>
      <t xml:space="preserve">6.3.2.4.1</t>
    </r>
    <r>
      <rPr>
        <sz val="10"/>
        <rFont val="Arial Unicode MS"/>
        <family val="2"/>
        <charset val="1"/>
      </rPr>
      <t xml:space="preserve">数据存储</t>
    </r>
    <r>
      <rPr>
        <sz val="10"/>
        <rFont val="Arial"/>
        <family val="0"/>
        <charset val="1"/>
      </rPr>
      <t xml:space="preserve">f</t>
    </r>
    <r>
      <rPr>
        <sz val="10"/>
        <rFont val="Arial Unicode MS"/>
        <family val="2"/>
        <charset val="1"/>
      </rPr>
      <t xml:space="preserve">款）</t>
    </r>
  </si>
  <si>
    <r>
      <rPr>
        <sz val="10"/>
        <rFont val="Arial Unicode MS"/>
        <family val="2"/>
        <charset val="1"/>
      </rPr>
      <t xml:space="preserve">系统部署在</t>
    </r>
    <r>
      <rPr>
        <sz val="10"/>
        <rFont val="Arial"/>
        <family val="0"/>
        <charset val="1"/>
      </rPr>
      <t xml:space="preserve">AWS</t>
    </r>
    <r>
      <rPr>
        <sz val="10"/>
        <rFont val="Arial Unicode MS"/>
        <family val="2"/>
        <charset val="1"/>
      </rPr>
      <t xml:space="preserve">云上，在云端需要有两套环境，分别是生产环境（正式服务环境）和</t>
    </r>
    <r>
      <rPr>
        <sz val="10"/>
        <rFont val="Arial"/>
        <family val="0"/>
        <charset val="1"/>
      </rPr>
      <t xml:space="preserve">UAT</t>
    </r>
    <r>
      <rPr>
        <sz val="10"/>
        <rFont val="Arial Unicode MS"/>
        <family val="2"/>
        <charset val="1"/>
      </rPr>
      <t xml:space="preserve">环境（上线前验证环境）。</t>
    </r>
  </si>
  <si>
    <r>
      <rPr>
        <sz val="10"/>
        <rFont val="Arial Unicode MS"/>
        <family val="2"/>
        <charset val="1"/>
      </rPr>
      <t xml:space="preserve">第</t>
    </r>
    <r>
      <rPr>
        <sz val="10"/>
        <rFont val="Arial"/>
        <family val="0"/>
        <charset val="1"/>
      </rPr>
      <t xml:space="preserve">8</t>
    </r>
    <r>
      <rPr>
        <sz val="10"/>
        <rFont val="Arial Unicode MS"/>
        <family val="2"/>
        <charset val="1"/>
      </rPr>
      <t xml:space="preserve">章要求部署在</t>
    </r>
    <r>
      <rPr>
        <sz val="10"/>
        <rFont val="Arial"/>
        <family val="0"/>
        <charset val="1"/>
      </rPr>
      <t xml:space="preserve">AWS</t>
    </r>
    <r>
      <rPr>
        <sz val="10"/>
        <rFont val="Arial Unicode MS"/>
        <family val="2"/>
        <charset val="1"/>
      </rPr>
      <t xml:space="preserve">（境外厂商公有云），而</t>
    </r>
    <r>
      <rPr>
        <sz val="10"/>
        <rFont val="Arial"/>
        <family val="0"/>
        <charset val="1"/>
      </rPr>
      <t xml:space="preserve">6.3.2.4.1 f)</t>
    </r>
    <r>
      <rPr>
        <sz val="10"/>
        <rFont val="Arial Unicode MS"/>
        <family val="2"/>
        <charset val="1"/>
      </rPr>
      <t xml:space="preserve">要求「存储产品应支持自主可控、安全可靠的要求</t>
    </r>
    <r>
      <rPr>
        <sz val="10"/>
        <rFont val="Arial"/>
        <family val="0"/>
        <charset val="1"/>
      </rPr>
      <t xml:space="preserve">,</t>
    </r>
    <r>
      <rPr>
        <sz val="10"/>
        <rFont val="Arial Unicode MS"/>
        <family val="2"/>
        <charset val="1"/>
      </rPr>
      <t xml:space="preserve">并通过中国信息安全测评中心</t>
    </r>
    <r>
      <rPr>
        <sz val="10"/>
        <rFont val="Arial"/>
        <family val="0"/>
        <charset val="1"/>
      </rPr>
      <t xml:space="preserve">EAL</t>
    </r>
    <r>
      <rPr>
        <sz val="10"/>
        <rFont val="Arial Unicode MS"/>
        <family val="2"/>
        <charset val="1"/>
      </rPr>
      <t xml:space="preserve">评测」，两者难以同时满足：</t>
    </r>
    <r>
      <rPr>
        <sz val="10"/>
        <rFont val="Arial"/>
        <family val="0"/>
        <charset val="1"/>
      </rPr>
      <t xml:space="preserve">AWS</t>
    </r>
    <r>
      <rPr>
        <sz val="10"/>
        <rFont val="Arial Unicode MS"/>
        <family val="2"/>
        <charset val="1"/>
      </rPr>
      <t xml:space="preserve">存储产品不属于自主可控范畴，也未按此路径通过中国信息安全测评中心测评。供水集团属公用事业，营销系统含大量居民个人信息和银行代收数据，选用境外云还涉及等保定级与数据合规问题。该矛盾属架构选型级，必须在开发前裁决。</t>
    </r>
  </si>
  <si>
    <r>
      <rPr>
        <sz val="10"/>
        <rFont val="Arial Unicode MS"/>
        <family val="2"/>
        <charset val="1"/>
      </rPr>
      <t xml:space="preserve">二选一并全文对齐：</t>
    </r>
    <r>
      <rPr>
        <sz val="10"/>
        <rFont val="Arial"/>
        <family val="0"/>
        <charset val="1"/>
      </rPr>
      <t xml:space="preserve">(a)</t>
    </r>
    <r>
      <rPr>
        <sz val="10"/>
        <rFont val="Arial Unicode MS"/>
        <family val="2"/>
        <charset val="1"/>
      </rPr>
      <t xml:space="preserve">改为「系统部署在集团私有云或国内合规公有云（政务云</t>
    </r>
    <r>
      <rPr>
        <sz val="10"/>
        <rFont val="Arial"/>
        <family val="0"/>
        <charset val="1"/>
      </rPr>
      <t xml:space="preserve">/</t>
    </r>
    <r>
      <rPr>
        <sz val="10"/>
        <rFont val="Arial Unicode MS"/>
        <family val="2"/>
        <charset val="1"/>
      </rPr>
      <t xml:space="preserve">国有云）上」，保留自主可控与测评要求；或</t>
    </r>
    <r>
      <rPr>
        <sz val="10"/>
        <rFont val="Arial"/>
        <family val="0"/>
        <charset val="1"/>
      </rPr>
      <t xml:space="preserve">(b)</t>
    </r>
    <r>
      <rPr>
        <sz val="10"/>
        <rFont val="Arial Unicode MS"/>
        <family val="2"/>
        <charset val="1"/>
      </rPr>
      <t xml:space="preserve">如确需</t>
    </r>
    <r>
      <rPr>
        <sz val="10"/>
        <rFont val="Arial"/>
        <family val="0"/>
        <charset val="1"/>
      </rPr>
      <t xml:space="preserve">AWS</t>
    </r>
    <r>
      <rPr>
        <sz val="10"/>
        <rFont val="Arial Unicode MS"/>
        <family val="2"/>
        <charset val="1"/>
      </rPr>
      <t xml:space="preserve">（中国区），则修订</t>
    </r>
    <r>
      <rPr>
        <sz val="10"/>
        <rFont val="Arial"/>
        <family val="0"/>
        <charset val="1"/>
      </rPr>
      <t xml:space="preserve">6.3.2.4.1 f)</t>
    </r>
    <r>
      <rPr>
        <sz val="10"/>
        <rFont val="Arial Unicode MS"/>
        <family val="2"/>
        <charset val="1"/>
      </rPr>
      <t xml:space="preserve">款，改为「存储服务应满足等保三级及数据本地化存储要求」，并补充等保定级与个人信息保护合规说明。</t>
    </r>
  </si>
  <si>
    <t xml:space="preserve">Q-019</t>
  </si>
  <si>
    <r>
      <rPr>
        <sz val="10"/>
        <rFont val="Arial"/>
        <family val="0"/>
        <charset val="1"/>
      </rPr>
      <t xml:space="preserve">1. </t>
    </r>
    <r>
      <rPr>
        <sz val="10"/>
        <rFont val="Arial Unicode MS"/>
        <family val="2"/>
        <charset val="1"/>
      </rPr>
      <t xml:space="preserve">引言（仅含</t>
    </r>
    <r>
      <rPr>
        <sz val="10"/>
        <rFont val="Arial"/>
        <family val="0"/>
        <charset val="1"/>
      </rPr>
      <t xml:space="preserve">1.1</t>
    </r>
    <r>
      <rPr>
        <sz val="10"/>
        <rFont val="Arial Unicode MS"/>
        <family val="2"/>
        <charset val="1"/>
      </rPr>
      <t xml:space="preserve">编写目的）</t>
    </r>
  </si>
  <si>
    <r>
      <rPr>
        <sz val="10"/>
        <rFont val="Arial Unicode MS"/>
        <family val="2"/>
        <charset val="1"/>
      </rPr>
      <t xml:space="preserve">本文档为供水营销管理系统系统需求规格说明书，主要是为了使用户和软件开发者对微</t>
    </r>
    <r>
      <rPr>
        <sz val="10"/>
        <rFont val="Arial"/>
        <family val="0"/>
        <charset val="1"/>
      </rPr>
      <t xml:space="preserve">ME</t>
    </r>
    <r>
      <rPr>
        <sz val="10"/>
        <rFont val="Arial Unicode MS"/>
        <family val="2"/>
        <charset val="1"/>
      </rPr>
      <t xml:space="preserve">的需求有一个共同的理解</t>
    </r>
  </si>
  <si>
    <r>
      <rPr>
        <sz val="10"/>
        <rFont val="Arial Unicode MS"/>
        <family val="2"/>
        <charset val="1"/>
      </rPr>
      <t xml:space="preserve">引言仅有</t>
    </r>
    <r>
      <rPr>
        <sz val="10"/>
        <rFont val="Arial"/>
        <family val="0"/>
        <charset val="1"/>
      </rPr>
      <t xml:space="preserve">1.1</t>
    </r>
    <r>
      <rPr>
        <sz val="10"/>
        <rFont val="Arial Unicode MS"/>
        <family val="2"/>
        <charset val="1"/>
      </rPr>
      <t xml:space="preserve">编写目的一个小节，缺少标准</t>
    </r>
    <r>
      <rPr>
        <sz val="10"/>
        <rFont val="Arial"/>
        <family val="0"/>
        <charset val="1"/>
      </rPr>
      <t xml:space="preserve">SRS</t>
    </r>
    <r>
      <rPr>
        <sz val="10"/>
        <rFont val="Arial Unicode MS"/>
        <family val="2"/>
        <charset val="1"/>
      </rPr>
      <t xml:space="preserve">应有的「范围」（系统边界、本期建设内容与不做内容）、「定义</t>
    </r>
    <r>
      <rPr>
        <sz val="10"/>
        <rFont val="Arial"/>
        <family val="0"/>
        <charset val="1"/>
      </rPr>
      <t xml:space="preserve">/</t>
    </r>
    <r>
      <rPr>
        <sz val="10"/>
        <rFont val="Arial Unicode MS"/>
        <family val="2"/>
        <charset val="1"/>
      </rPr>
      <t xml:space="preserve">术语」、「参考资料」（合同、上位规划、引用标准清单）、「预期读者与阅读建议」。系统边界不清导致与</t>
    </r>
    <r>
      <rPr>
        <sz val="10"/>
        <rFont val="Arial"/>
        <family val="0"/>
        <charset val="1"/>
      </rPr>
      <t xml:space="preserve">3.1</t>
    </r>
    <r>
      <rPr>
        <sz val="10"/>
        <rFont val="Arial Unicode MS"/>
        <family val="2"/>
        <charset val="1"/>
      </rPr>
      <t xml:space="preserve">的</t>
    </r>
    <r>
      <rPr>
        <sz val="10"/>
        <rFont val="Arial"/>
        <family val="0"/>
        <charset val="1"/>
      </rPr>
      <t xml:space="preserve">11</t>
    </r>
    <r>
      <rPr>
        <sz val="10"/>
        <rFont val="Arial Unicode MS"/>
        <family val="2"/>
        <charset val="1"/>
      </rPr>
      <t xml:space="preserve">个模块、第</t>
    </r>
    <r>
      <rPr>
        <sz val="10"/>
        <rFont val="Arial"/>
        <family val="0"/>
        <charset val="1"/>
      </rPr>
      <t xml:space="preserve">4</t>
    </r>
    <r>
      <rPr>
        <sz val="10"/>
        <rFont val="Arial Unicode MS"/>
        <family val="2"/>
        <charset val="1"/>
      </rPr>
      <t xml:space="preserve">章仅</t>
    </r>
    <r>
      <rPr>
        <sz val="10"/>
        <rFont val="Arial"/>
        <family val="0"/>
        <charset val="1"/>
      </rPr>
      <t xml:space="preserve">7</t>
    </r>
    <r>
      <rPr>
        <sz val="10"/>
        <rFont val="Arial Unicode MS"/>
        <family val="2"/>
        <charset val="1"/>
      </rPr>
      <t xml:space="preserve">组功能之间的差距无从解释（无法判断是漏写还是本期不做）。</t>
    </r>
  </si>
  <si>
    <r>
      <rPr>
        <sz val="10"/>
        <rFont val="Arial Unicode MS"/>
        <family val="2"/>
        <charset val="1"/>
      </rPr>
      <t xml:space="preserve">按</t>
    </r>
    <r>
      <rPr>
        <sz val="10"/>
        <rFont val="Arial"/>
        <family val="0"/>
        <charset val="1"/>
      </rPr>
      <t xml:space="preserve">GB/T 9385</t>
    </r>
    <r>
      <rPr>
        <sz val="10"/>
        <rFont val="Arial Unicode MS"/>
        <family val="2"/>
        <charset val="1"/>
      </rPr>
      <t xml:space="preserve">补齐引言结构：</t>
    </r>
    <r>
      <rPr>
        <sz val="10"/>
        <rFont val="Arial"/>
        <family val="0"/>
        <charset val="1"/>
      </rPr>
      <t xml:space="preserve">1.2</t>
    </r>
    <r>
      <rPr>
        <sz val="10"/>
        <rFont val="Arial Unicode MS"/>
        <family val="2"/>
        <charset val="1"/>
      </rPr>
      <t xml:space="preserve">范围（列明本期实施的模块清单及明确排除项）、</t>
    </r>
    <r>
      <rPr>
        <sz val="10"/>
        <rFont val="Arial"/>
        <family val="0"/>
        <charset val="1"/>
      </rPr>
      <t xml:space="preserve">1.3</t>
    </r>
    <r>
      <rPr>
        <sz val="10"/>
        <rFont val="Arial Unicode MS"/>
        <family val="2"/>
        <charset val="1"/>
      </rPr>
      <t xml:space="preserve">定义（术语与缩略语表）、</t>
    </r>
    <r>
      <rPr>
        <sz val="10"/>
        <rFont val="Arial"/>
        <family val="0"/>
        <charset val="1"/>
      </rPr>
      <t xml:space="preserve">1.4</t>
    </r>
    <r>
      <rPr>
        <sz val="10"/>
        <rFont val="Arial Unicode MS"/>
        <family val="2"/>
        <charset val="1"/>
      </rPr>
      <t xml:space="preserve">参考资料（合同</t>
    </r>
    <r>
      <rPr>
        <sz val="10"/>
        <rFont val="Arial"/>
        <family val="0"/>
        <charset val="1"/>
      </rPr>
      <t xml:space="preserve">/</t>
    </r>
    <r>
      <rPr>
        <sz val="10"/>
        <rFont val="Arial Unicode MS"/>
        <family val="2"/>
        <charset val="1"/>
      </rPr>
      <t xml:space="preserve">标准</t>
    </r>
    <r>
      <rPr>
        <sz val="10"/>
        <rFont val="Arial"/>
        <family val="0"/>
        <charset val="1"/>
      </rPr>
      <t xml:space="preserve">/</t>
    </r>
    <r>
      <rPr>
        <sz val="10"/>
        <rFont val="Arial Unicode MS"/>
        <family val="2"/>
        <charset val="1"/>
      </rPr>
      <t xml:space="preserve">上位文档编号）、</t>
    </r>
    <r>
      <rPr>
        <sz val="10"/>
        <rFont val="Arial"/>
        <family val="0"/>
        <charset val="1"/>
      </rPr>
      <t xml:space="preserve">1.5</t>
    </r>
    <r>
      <rPr>
        <sz val="10"/>
        <rFont val="Arial Unicode MS"/>
        <family val="2"/>
        <charset val="1"/>
      </rPr>
      <t xml:space="preserve">文档约定与读者对象。</t>
    </r>
  </si>
  <si>
    <t xml:space="preserve">Q-020</t>
  </si>
  <si>
    <r>
      <rPr>
        <sz val="10"/>
        <rFont val="Arial"/>
        <family val="0"/>
        <charset val="1"/>
      </rPr>
      <t xml:space="preserve">1.1 </t>
    </r>
    <r>
      <rPr>
        <sz val="10"/>
        <rFont val="Arial Unicode MS"/>
        <family val="2"/>
        <charset val="1"/>
      </rPr>
      <t xml:space="preserve">编写目的</t>
    </r>
  </si>
  <si>
    <r>
      <rPr>
        <sz val="10"/>
        <rFont val="Arial Unicode MS"/>
        <family val="2"/>
        <charset val="1"/>
      </rPr>
      <t xml:space="preserve">主要是为了使用户和软件开发者对微</t>
    </r>
    <r>
      <rPr>
        <sz val="10"/>
        <rFont val="Arial"/>
        <family val="0"/>
        <charset val="1"/>
      </rPr>
      <t xml:space="preserve">ME</t>
    </r>
    <r>
      <rPr>
        <sz val="10"/>
        <rFont val="Arial Unicode MS"/>
        <family val="2"/>
        <charset val="1"/>
      </rPr>
      <t xml:space="preserve">的需求有一个共同的理解</t>
    </r>
  </si>
  <si>
    <r>
      <rPr>
        <sz val="10"/>
        <rFont val="Arial Unicode MS"/>
        <family val="2"/>
        <charset val="1"/>
      </rPr>
      <t xml:space="preserve">「微</t>
    </r>
    <r>
      <rPr>
        <sz val="10"/>
        <rFont val="Arial"/>
        <family val="0"/>
        <charset val="1"/>
      </rPr>
      <t xml:space="preserve">ME</t>
    </r>
    <r>
      <rPr>
        <sz val="10"/>
        <rFont val="Arial Unicode MS"/>
        <family val="2"/>
        <charset val="1"/>
      </rPr>
      <t xml:space="preserve">」是其他项目名称的残留，与本系统无关；同句还有「供水营销管理系统系统需求规格说明书」的「系统」重复。编写目的是全文第一段，此处出现别的项目名，会让评审方对整份文档的复用来源和严肃性产生质疑。</t>
    </r>
  </si>
  <si>
    <t xml:space="preserve">改为「本文档为供水营销管理系统需求规格说明书，主要是为了使用户和软件开发者对供水营销管理系统的需求有一个共同的理解」；阅读对象建议补充「建设方业务人员、测试人员」。</t>
  </si>
  <si>
    <t xml:space="preserve">Q-021</t>
  </si>
  <si>
    <r>
      <rPr>
        <sz val="10"/>
        <rFont val="Arial"/>
        <family val="0"/>
        <charset val="1"/>
      </rPr>
      <t xml:space="preserve">2.1 </t>
    </r>
    <r>
      <rPr>
        <sz val="10"/>
        <rFont val="Arial Unicode MS"/>
        <family val="2"/>
        <charset val="1"/>
      </rPr>
      <t xml:space="preserve">标准规范依据</t>
    </r>
  </si>
  <si>
    <r>
      <rPr>
        <sz val="10"/>
        <rFont val="Arial Unicode MS"/>
        <family val="2"/>
        <charset val="1"/>
      </rPr>
      <t xml:space="preserve">国际标准：</t>
    </r>
    <r>
      <rPr>
        <sz val="10"/>
        <rFont val="Arial"/>
        <family val="0"/>
        <charset val="1"/>
      </rPr>
      <t xml:space="preserve">RDF</t>
    </r>
    <r>
      <rPr>
        <sz val="10"/>
        <rFont val="Arial Unicode MS"/>
        <family val="2"/>
        <charset val="1"/>
      </rPr>
      <t xml:space="preserve">（</t>
    </r>
    <r>
      <rPr>
        <sz val="10"/>
        <rFont val="Arial"/>
        <family val="0"/>
        <charset val="1"/>
      </rPr>
      <t xml:space="preserve">Resource Description Framework</t>
    </r>
    <r>
      <rPr>
        <sz val="10"/>
        <rFont val="Arial Unicode MS"/>
        <family val="2"/>
        <charset val="1"/>
      </rPr>
      <t xml:space="preserve">）、</t>
    </r>
    <r>
      <rPr>
        <sz val="10"/>
        <rFont val="Arial"/>
        <family val="0"/>
        <charset val="1"/>
      </rPr>
      <t xml:space="preserve">OWL</t>
    </r>
    <r>
      <rPr>
        <sz val="10"/>
        <rFont val="Arial Unicode MS"/>
        <family val="2"/>
        <charset val="1"/>
      </rPr>
      <t xml:space="preserve">、</t>
    </r>
    <r>
      <rPr>
        <sz val="10"/>
        <rFont val="Arial"/>
        <family val="0"/>
        <charset val="1"/>
      </rPr>
      <t xml:space="preserve">XML</t>
    </r>
  </si>
  <si>
    <r>
      <rPr>
        <sz val="10"/>
        <rFont val="Arial Unicode MS"/>
        <family val="2"/>
        <charset val="1"/>
      </rPr>
      <t xml:space="preserve">标准依据表仅列了三项国际标准：</t>
    </r>
    <r>
      <rPr>
        <sz val="10"/>
        <rFont val="Arial"/>
        <family val="0"/>
        <charset val="1"/>
      </rPr>
      <t xml:space="preserve">RDF</t>
    </r>
    <r>
      <rPr>
        <sz val="10"/>
        <rFont val="Arial Unicode MS"/>
        <family val="2"/>
        <charset val="1"/>
      </rPr>
      <t xml:space="preserve">（资源描述框架）、</t>
    </r>
    <r>
      <rPr>
        <sz val="10"/>
        <rFont val="Arial"/>
        <family val="0"/>
        <charset val="1"/>
      </rPr>
      <t xml:space="preserve">OWL</t>
    </r>
    <r>
      <rPr>
        <sz val="10"/>
        <rFont val="Arial Unicode MS"/>
        <family val="2"/>
        <charset val="1"/>
      </rPr>
      <t xml:space="preserve">（</t>
    </r>
    <r>
      <rPr>
        <sz val="10"/>
        <rFont val="Arial"/>
        <family val="0"/>
        <charset val="1"/>
      </rPr>
      <t xml:space="preserve">Web</t>
    </r>
    <r>
      <rPr>
        <sz val="10"/>
        <rFont val="Arial Unicode MS"/>
        <family val="2"/>
        <charset val="1"/>
      </rPr>
      <t xml:space="preserve">本体语言）、</t>
    </r>
    <r>
      <rPr>
        <sz val="10"/>
        <rFont val="Arial"/>
        <family val="0"/>
        <charset val="1"/>
      </rPr>
      <t xml:space="preserve">XML</t>
    </r>
    <r>
      <rPr>
        <sz val="10"/>
        <rFont val="Arial Unicode MS"/>
        <family val="2"/>
        <charset val="1"/>
      </rPr>
      <t xml:space="preserve">（可扩展标记语言），全部是语义网</t>
    </r>
    <r>
      <rPr>
        <sz val="10"/>
        <rFont val="Arial"/>
        <family val="0"/>
        <charset val="1"/>
      </rPr>
      <t xml:space="preserve">/</t>
    </r>
    <r>
      <rPr>
        <sz val="10"/>
        <rFont val="Arial Unicode MS"/>
        <family val="2"/>
        <charset val="1"/>
      </rPr>
      <t xml:space="preserve">知识图谱领域标准（原文表格中跨行排版），与供水营销收费系统的业务和技术栈无对应关系，疑似其他项目模板残留；而本文档实际引用的标准（如第</t>
    </r>
    <r>
      <rPr>
        <sz val="10"/>
        <rFont val="Arial"/>
        <family val="0"/>
        <charset val="1"/>
      </rPr>
      <t xml:space="preserve">6/7</t>
    </r>
    <r>
      <rPr>
        <sz val="10"/>
        <rFont val="Arial Unicode MS"/>
        <family val="2"/>
        <charset val="1"/>
      </rPr>
      <t xml:space="preserve">章的</t>
    </r>
    <r>
      <rPr>
        <sz val="10"/>
        <rFont val="Arial"/>
        <family val="0"/>
        <charset val="1"/>
      </rPr>
      <t xml:space="preserve">GB/T 20988-2007</t>
    </r>
    <r>
      <rPr>
        <sz val="10"/>
        <rFont val="Arial Unicode MS"/>
        <family val="2"/>
        <charset val="1"/>
      </rPr>
      <t xml:space="preserve">）和真正适用的依据（等保、灾备、发票、水务行业标准）反而未列入，导致合规测试无据可依。</t>
    </r>
  </si>
  <si>
    <r>
      <rPr>
        <sz val="10"/>
        <rFont val="Arial Unicode MS"/>
        <family val="2"/>
        <charset val="1"/>
      </rPr>
      <t xml:space="preserve">删除</t>
    </r>
    <r>
      <rPr>
        <sz val="10"/>
        <rFont val="Arial"/>
        <family val="0"/>
        <charset val="1"/>
      </rPr>
      <t xml:space="preserve">RDF/OWL/XML</t>
    </r>
    <r>
      <rPr>
        <sz val="10"/>
        <rFont val="Arial Unicode MS"/>
        <family val="2"/>
        <charset val="1"/>
      </rPr>
      <t xml:space="preserve">三项；替换为本项目真正适用的标准并标注标准号：</t>
    </r>
    <r>
      <rPr>
        <sz val="10"/>
        <rFont val="Arial"/>
        <family val="0"/>
        <charset val="1"/>
      </rPr>
      <t xml:space="preserve">GB/T 22239-2019</t>
    </r>
    <r>
      <rPr>
        <sz val="10"/>
        <rFont val="Arial Unicode MS"/>
        <family val="2"/>
        <charset val="1"/>
      </rPr>
      <t xml:space="preserve">《信息安全技术 网络安全等级保护基本要求》、</t>
    </r>
    <r>
      <rPr>
        <sz val="10"/>
        <rFont val="Arial"/>
        <family val="0"/>
        <charset val="1"/>
      </rPr>
      <t xml:space="preserve">GB/T 20988-2007</t>
    </r>
    <r>
      <rPr>
        <sz val="10"/>
        <rFont val="Arial Unicode MS"/>
        <family val="2"/>
        <charset val="1"/>
      </rPr>
      <t xml:space="preserve">《信息系统灾难恢复规范》、</t>
    </r>
    <r>
      <rPr>
        <sz val="10"/>
        <rFont val="Arial"/>
        <family val="0"/>
        <charset val="1"/>
      </rPr>
      <t xml:space="preserve">CJ/T 188</t>
    </r>
    <r>
      <rPr>
        <sz val="10"/>
        <rFont val="Arial Unicode MS"/>
        <family val="2"/>
        <charset val="1"/>
      </rPr>
      <t xml:space="preserve">《户用计量仪表数据传输技术条件》、增值税发票开具相关规定（财政部电子票据）、人行银行代收业务规范及水务行业营业收费规范等。</t>
    </r>
  </si>
  <si>
    <t xml:space="preserve">Q-022</t>
  </si>
  <si>
    <r>
      <rPr>
        <sz val="10"/>
        <rFont val="Arial"/>
        <family val="0"/>
        <charset val="1"/>
      </rPr>
      <t xml:space="preserve">3.2 </t>
    </r>
    <r>
      <rPr>
        <sz val="10"/>
        <rFont val="Arial Unicode MS"/>
        <family val="2"/>
        <charset val="1"/>
      </rPr>
      <t xml:space="preserve">系统总体功能</t>
    </r>
  </si>
  <si>
    <t xml:space="preserve">同时管理客户基本信息变更，如销户、过户、该表、缴费方式变更、银行信息变更等</t>
  </si>
  <si>
    <t xml:space="preserve">「该表」应为「换表」，此处列举的是档案管理的变更业务类型清单，错字会直接进入功能设计和测试用例，导致「换表变更」业务项缺失或名称错误。同节抄表管理段还有「对水量异常的的抄表数据」（「的」重复）、「自动生成客户档期水费」（应为「当期水费」）两处笔误。</t>
  </si>
  <si>
    <t xml:space="preserve">「该表」改为「换表」；「水量异常的的」删去一个「的」；「档期水费」改为「当期水费」。</t>
  </si>
  <si>
    <t xml:space="preserve">Q-023</t>
  </si>
  <si>
    <r>
      <rPr>
        <sz val="10"/>
        <rFont val="Arial"/>
        <family val="0"/>
        <charset val="1"/>
      </rPr>
      <t xml:space="preserve">3.3 </t>
    </r>
    <r>
      <rPr>
        <sz val="10"/>
        <rFont val="Arial Unicode MS"/>
        <family val="2"/>
        <charset val="1"/>
      </rPr>
      <t xml:space="preserve">系统功能清单</t>
    </r>
    <r>
      <rPr>
        <sz val="10"/>
        <rFont val="Arial"/>
        <family val="0"/>
        <charset val="1"/>
      </rPr>
      <t xml:space="preserve">-</t>
    </r>
    <r>
      <rPr>
        <sz val="10"/>
        <rFont val="Arial Unicode MS"/>
        <family val="2"/>
        <charset val="1"/>
      </rPr>
      <t xml:space="preserve">手工抄表录入（全文缺术语表）</t>
    </r>
  </si>
  <si>
    <t xml:space="preserve">手工抄表时可以看到换表信息、总分表信息、备忘信息。这三项可能影响抄表、行至及实收水量等</t>
  </si>
  <si>
    <r>
      <rPr>
        <sz val="10"/>
        <rFont val="Arial Unicode MS"/>
        <family val="2"/>
        <charset val="1"/>
      </rPr>
      <t xml:space="preserve">全文大量使用行业术语但无任何定义：「行至」（抄表止度）、「表册」、「销账」、「销账冲红」、「总分表」、「预收费」等首次出现即直接使用。「总分表信息如何影响实收水量」这类核心计算逻辑依赖术语理解，非水务背景的开发</t>
    </r>
    <r>
      <rPr>
        <sz val="10"/>
        <rFont val="Arial"/>
        <family val="0"/>
        <charset val="1"/>
      </rPr>
      <t xml:space="preserve">/</t>
    </r>
    <r>
      <rPr>
        <sz val="10"/>
        <rFont val="Arial Unicode MS"/>
        <family val="2"/>
        <charset val="1"/>
      </rPr>
      <t xml:space="preserve">测试人员会产生不同解读，直接导致水量计算实现偏差。</t>
    </r>
  </si>
  <si>
    <r>
      <rPr>
        <sz val="10"/>
        <rFont val="Arial Unicode MS"/>
        <family val="2"/>
        <charset val="1"/>
      </rPr>
      <t xml:space="preserve">在引言增加术语定义表，至少定义：行至（水表本期抄见读数</t>
    </r>
    <r>
      <rPr>
        <sz val="10"/>
        <rFont val="Arial"/>
        <family val="0"/>
        <charset val="1"/>
      </rPr>
      <t xml:space="preserve">/</t>
    </r>
    <r>
      <rPr>
        <sz val="10"/>
        <rFont val="Arial Unicode MS"/>
        <family val="2"/>
        <charset val="1"/>
      </rPr>
      <t xml:space="preserve">止度）、表册（按抄表路线组织的用户分组单元）、销账（收费核销欠费账单）、销账冲红（对已销账交易的红字冲正）、总分表（总表与分表的对应关系及总表水量</t>
    </r>
    <r>
      <rPr>
        <sz val="10"/>
        <rFont val="Arial"/>
        <family val="0"/>
        <charset val="1"/>
      </rPr>
      <t xml:space="preserve">=</t>
    </r>
    <r>
      <rPr>
        <sz val="10"/>
        <rFont val="Arial Unicode MS"/>
        <family val="2"/>
        <charset val="1"/>
      </rPr>
      <t xml:space="preserve">总表行至差</t>
    </r>
    <r>
      <rPr>
        <sz val="10"/>
        <rFont val="Arial"/>
        <family val="0"/>
        <charset val="1"/>
      </rPr>
      <t xml:space="preserve">-</t>
    </r>
    <r>
      <rPr>
        <sz val="10"/>
        <rFont val="Arial Unicode MS"/>
        <family val="2"/>
        <charset val="1"/>
      </rPr>
      <t xml:space="preserve">各分表水量之和的分摊规则）、预收费。</t>
    </r>
  </si>
  <si>
    <t xml:space="preserve">Q-024</t>
  </si>
  <si>
    <r>
      <rPr>
        <sz val="10"/>
        <rFont val="Arial"/>
        <family val="0"/>
        <charset val="1"/>
      </rPr>
      <t xml:space="preserve">4. </t>
    </r>
    <r>
      <rPr>
        <sz val="10"/>
        <rFont val="Arial Unicode MS"/>
        <family val="2"/>
        <charset val="1"/>
      </rPr>
      <t xml:space="preserve">系统功能描述（通篇）</t>
    </r>
  </si>
  <si>
    <t xml:space="preserve">场景功能描述：</t>
  </si>
  <si>
    <r>
      <rPr>
        <sz val="10"/>
        <rFont val="Arial Unicode MS"/>
        <family val="2"/>
        <charset val="1"/>
      </rPr>
      <t xml:space="preserve">所有功能只用「场景功能描述」表</t>
    </r>
    <r>
      <rPr>
        <sz val="10"/>
        <rFont val="Arial"/>
        <family val="0"/>
        <charset val="1"/>
      </rPr>
      <t xml:space="preserve">+</t>
    </r>
    <r>
      <rPr>
        <sz val="10"/>
        <rFont val="Arial Unicode MS"/>
        <family val="2"/>
        <charset val="1"/>
      </rPr>
      <t xml:space="preserve">参考界面截图表达，全文没有一张业务流程图、用例图或状态图；抄表→算费→销账→开票→对账的端到端主业务流、总分表算量流程、预收费冲抵欠费流程等跨功能协作关系完全没有描述，开发只能孤立地实现单个界面，集成逻辑无依据。</t>
    </r>
  </si>
  <si>
    <r>
      <rPr>
        <sz val="10"/>
        <rFont val="Arial Unicode MS"/>
        <family val="2"/>
        <charset val="1"/>
      </rPr>
      <t xml:space="preserve">在第</t>
    </r>
    <r>
      <rPr>
        <sz val="10"/>
        <rFont val="Arial"/>
        <family val="0"/>
        <charset val="1"/>
      </rPr>
      <t xml:space="preserve">3</t>
    </r>
    <r>
      <rPr>
        <sz val="10"/>
        <rFont val="Arial Unicode MS"/>
        <family val="2"/>
        <charset val="1"/>
      </rPr>
      <t xml:space="preserve">章或第</t>
    </r>
    <r>
      <rPr>
        <sz val="10"/>
        <rFont val="Arial"/>
        <family val="0"/>
        <charset val="1"/>
      </rPr>
      <t xml:space="preserve">4</t>
    </r>
    <r>
      <rPr>
        <sz val="10"/>
        <rFont val="Arial Unicode MS"/>
        <family val="2"/>
        <charset val="1"/>
      </rPr>
      <t xml:space="preserve">章各功能组前补充：系统用例图（角色</t>
    </r>
    <r>
      <rPr>
        <sz val="10"/>
        <rFont val="Arial"/>
        <family val="0"/>
        <charset val="1"/>
      </rPr>
      <t xml:space="preserve">-</t>
    </r>
    <r>
      <rPr>
        <sz val="10"/>
        <rFont val="Arial Unicode MS"/>
        <family val="2"/>
        <charset val="1"/>
      </rPr>
      <t xml:space="preserve">用例关系）、核心业务流程图（抄表到收费开票的端到端泳道图、银行代收对账流程图）、账单状态图（未缴</t>
    </r>
    <r>
      <rPr>
        <sz val="10"/>
        <rFont val="Arial"/>
        <family val="0"/>
        <charset val="1"/>
      </rPr>
      <t xml:space="preserve">-</t>
    </r>
    <r>
      <rPr>
        <sz val="10"/>
        <rFont val="Arial Unicode MS"/>
        <family val="2"/>
        <charset val="1"/>
      </rPr>
      <t xml:space="preserve">部分缴</t>
    </r>
    <r>
      <rPr>
        <sz val="10"/>
        <rFont val="Arial"/>
        <family val="0"/>
        <charset val="1"/>
      </rPr>
      <t xml:space="preserve">-</t>
    </r>
    <r>
      <rPr>
        <sz val="10"/>
        <rFont val="Arial Unicode MS"/>
        <family val="2"/>
        <charset val="1"/>
      </rPr>
      <t xml:space="preserve">已缴</t>
    </r>
    <r>
      <rPr>
        <sz val="10"/>
        <rFont val="Arial"/>
        <family val="0"/>
        <charset val="1"/>
      </rPr>
      <t xml:space="preserve">-</t>
    </r>
    <r>
      <rPr>
        <sz val="10"/>
        <rFont val="Arial Unicode MS"/>
        <family val="2"/>
        <charset val="1"/>
      </rPr>
      <t xml:space="preserve">冲红），并在场景表中引用对应流程节点。</t>
    </r>
  </si>
  <si>
    <t xml:space="preserve">Q-025</t>
  </si>
  <si>
    <r>
      <rPr>
        <sz val="10"/>
        <rFont val="Arial"/>
        <family val="0"/>
        <charset val="1"/>
      </rPr>
      <t xml:space="preserve">4.1.1~4.7.3 </t>
    </r>
    <r>
      <rPr>
        <sz val="10"/>
        <rFont val="Arial Unicode MS"/>
        <family val="2"/>
        <charset val="1"/>
      </rPr>
      <t xml:space="preserve">全部</t>
    </r>
    <r>
      <rPr>
        <sz val="10"/>
        <rFont val="Arial"/>
        <family val="0"/>
        <charset val="1"/>
      </rPr>
      <t xml:space="preserve">24</t>
    </r>
    <r>
      <rPr>
        <sz val="10"/>
        <rFont val="Arial Unicode MS"/>
        <family val="2"/>
        <charset val="1"/>
      </rPr>
      <t xml:space="preserve">个场景描述表（需求编号与优先级定义）</t>
    </r>
  </si>
  <si>
    <r>
      <rPr>
        <sz val="10"/>
        <rFont val="Arial Unicode MS"/>
        <family val="2"/>
        <charset val="1"/>
      </rPr>
      <t xml:space="preserve">全部</t>
    </r>
    <r>
      <rPr>
        <sz val="10"/>
        <rFont val="Arial"/>
        <family val="0"/>
        <charset val="1"/>
      </rPr>
      <t xml:space="preserve">24</t>
    </r>
    <r>
      <rPr>
        <sz val="10"/>
        <rFont val="Arial Unicode MS"/>
        <family val="2"/>
        <charset val="1"/>
      </rPr>
      <t xml:space="preserve">个需求条目仅靠章节号</t>
    </r>
    <r>
      <rPr>
        <sz val="10"/>
        <rFont val="Arial"/>
        <family val="0"/>
        <charset val="1"/>
      </rPr>
      <t xml:space="preserve">+</t>
    </r>
    <r>
      <rPr>
        <sz val="10"/>
        <rFont val="Arial Unicode MS"/>
        <family val="2"/>
        <charset val="1"/>
      </rPr>
      <t xml:space="preserve">中文名称标识，无唯一需求编号（如</t>
    </r>
    <r>
      <rPr>
        <sz val="10"/>
        <rFont val="Arial"/>
        <family val="0"/>
        <charset val="1"/>
      </rPr>
      <t xml:space="preserve">FR-DA-001</t>
    </r>
    <r>
      <rPr>
        <sz val="10"/>
        <rFont val="Arial Unicode MS"/>
        <family val="2"/>
        <charset val="1"/>
      </rPr>
      <t xml:space="preserve">），需求跟踪矩阵、变更管理、测试用例映射都无法建立；同时全部场景表均填写了优先级，取值只出现</t>
    </r>
    <r>
      <rPr>
        <sz val="10"/>
        <rFont val="Arial"/>
        <family val="0"/>
        <charset val="1"/>
      </rPr>
      <t xml:space="preserve">1</t>
    </r>
    <r>
      <rPr>
        <sz val="10"/>
        <rFont val="Arial Unicode MS"/>
        <family val="2"/>
        <charset val="1"/>
      </rPr>
      <t xml:space="preserve">、</t>
    </r>
    <r>
      <rPr>
        <sz val="10"/>
        <rFont val="Arial"/>
        <family val="0"/>
        <charset val="1"/>
      </rPr>
      <t xml:space="preserve">2</t>
    </r>
    <r>
      <rPr>
        <sz val="10"/>
        <rFont val="Arial Unicode MS"/>
        <family val="2"/>
        <charset val="1"/>
      </rPr>
      <t xml:space="preserve">、</t>
    </r>
    <r>
      <rPr>
        <sz val="10"/>
        <rFont val="Arial"/>
        <family val="0"/>
        <charset val="1"/>
      </rPr>
      <t xml:space="preserve">5</t>
    </r>
    <r>
      <rPr>
        <sz val="10"/>
        <rFont val="Arial Unicode MS"/>
        <family val="2"/>
        <charset val="1"/>
      </rPr>
      <t xml:space="preserve">三档，但全文没有任何地方定义优先级的取值范围、各档含义及其对实现</t>
    </r>
    <r>
      <rPr>
        <sz val="10"/>
        <rFont val="Arial"/>
        <family val="0"/>
        <charset val="1"/>
      </rPr>
      <t xml:space="preserve">/</t>
    </r>
    <r>
      <rPr>
        <sz val="10"/>
        <rFont val="Arial Unicode MS"/>
        <family val="2"/>
        <charset val="1"/>
      </rPr>
      <t xml:space="preserve">验收的约束（</t>
    </r>
    <r>
      <rPr>
        <sz val="10"/>
        <rFont val="Arial"/>
        <family val="0"/>
        <charset val="1"/>
      </rPr>
      <t xml:space="preserve">1</t>
    </r>
    <r>
      <rPr>
        <sz val="10"/>
        <rFont val="Arial Unicode MS"/>
        <family val="2"/>
        <charset val="1"/>
      </rPr>
      <t xml:space="preserve">是最高还是最低？</t>
    </r>
    <r>
      <rPr>
        <sz val="10"/>
        <rFont val="Arial"/>
        <family val="0"/>
        <charset val="1"/>
      </rPr>
      <t xml:space="preserve">5</t>
    </r>
    <r>
      <rPr>
        <sz val="10"/>
        <rFont val="Arial Unicode MS"/>
        <family val="2"/>
        <charset val="1"/>
      </rPr>
      <t xml:space="preserve">是否代表可裁剪？缺</t>
    </r>
    <r>
      <rPr>
        <sz val="10"/>
        <rFont val="Arial"/>
        <family val="0"/>
        <charset val="1"/>
      </rPr>
      <t xml:space="preserve">3/4</t>
    </r>
    <r>
      <rPr>
        <sz val="10"/>
        <rFont val="Arial Unicode MS"/>
        <family val="2"/>
        <charset val="1"/>
      </rPr>
      <t xml:space="preserve">档说明），开发无法据此排期，测试无法确定用例优先级和验收必要项。</t>
    </r>
  </si>
  <si>
    <r>
      <rPr>
        <sz val="10"/>
        <rFont val="Arial Unicode MS"/>
        <family val="2"/>
        <charset val="1"/>
      </rPr>
      <t xml:space="preserve">为每条功能需求分配唯一编号（建议格式</t>
    </r>
    <r>
      <rPr>
        <sz val="10"/>
        <rFont val="Arial"/>
        <family val="0"/>
        <charset val="1"/>
      </rPr>
      <t xml:space="preserve">FR-</t>
    </r>
    <r>
      <rPr>
        <sz val="10"/>
        <rFont val="Arial Unicode MS"/>
        <family val="2"/>
        <charset val="1"/>
      </rPr>
      <t xml:space="preserve">模块缩写</t>
    </r>
    <r>
      <rPr>
        <sz val="10"/>
        <rFont val="Arial"/>
        <family val="0"/>
        <charset val="1"/>
      </rPr>
      <t xml:space="preserve">-</t>
    </r>
    <r>
      <rPr>
        <sz val="10"/>
        <rFont val="Arial Unicode MS"/>
        <family val="2"/>
        <charset val="1"/>
      </rPr>
      <t xml:space="preserve">三位序号）并在功能清单中建立编号索引；在</t>
    </r>
    <r>
      <rPr>
        <sz val="10"/>
        <rFont val="Arial"/>
        <family val="0"/>
        <charset val="1"/>
      </rPr>
      <t xml:space="preserve">3.3</t>
    </r>
    <r>
      <rPr>
        <sz val="10"/>
        <rFont val="Arial Unicode MS"/>
        <family val="2"/>
        <charset val="1"/>
      </rPr>
      <t xml:space="preserve">或文档约定小节增加优先级定义表，例如：「</t>
    </r>
    <r>
      <rPr>
        <sz val="10"/>
        <rFont val="Arial"/>
        <family val="0"/>
        <charset val="1"/>
      </rPr>
      <t xml:space="preserve">1=</t>
    </r>
    <r>
      <rPr>
        <sz val="10"/>
        <rFont val="Arial Unicode MS"/>
        <family val="2"/>
        <charset val="1"/>
      </rPr>
      <t xml:space="preserve">必须实现</t>
    </r>
    <r>
      <rPr>
        <sz val="10"/>
        <rFont val="Arial"/>
        <family val="0"/>
        <charset val="1"/>
      </rPr>
      <t xml:space="preserve">Must</t>
    </r>
    <r>
      <rPr>
        <sz val="10"/>
        <rFont val="Arial Unicode MS"/>
        <family val="2"/>
        <charset val="1"/>
      </rPr>
      <t xml:space="preserve">，本期验收必要条件；</t>
    </r>
    <r>
      <rPr>
        <sz val="10"/>
        <rFont val="Arial"/>
        <family val="0"/>
        <charset val="1"/>
      </rPr>
      <t xml:space="preserve">2=</t>
    </r>
    <r>
      <rPr>
        <sz val="10"/>
        <rFont val="Arial Unicode MS"/>
        <family val="2"/>
        <charset val="1"/>
      </rPr>
      <t xml:space="preserve">应实现</t>
    </r>
    <r>
      <rPr>
        <sz val="10"/>
        <rFont val="Arial"/>
        <family val="0"/>
        <charset val="1"/>
      </rPr>
      <t xml:space="preserve">Should</t>
    </r>
    <r>
      <rPr>
        <sz val="10"/>
        <rFont val="Arial Unicode MS"/>
        <family val="2"/>
        <charset val="1"/>
      </rPr>
      <t xml:space="preserve">，本期计划内可协商顺延；</t>
    </r>
    <r>
      <rPr>
        <sz val="10"/>
        <rFont val="Arial"/>
        <family val="0"/>
        <charset val="1"/>
      </rPr>
      <t xml:space="preserve">3~5=</t>
    </r>
    <r>
      <rPr>
        <sz val="10"/>
        <rFont val="Arial Unicode MS"/>
        <family val="2"/>
        <charset val="1"/>
      </rPr>
      <t xml:space="preserve">可实现</t>
    </r>
    <r>
      <rPr>
        <sz val="10"/>
        <rFont val="Arial"/>
        <family val="0"/>
        <charset val="1"/>
      </rPr>
      <t xml:space="preserve">Could</t>
    </r>
    <r>
      <rPr>
        <sz val="10"/>
        <rFont val="Arial Unicode MS"/>
        <family val="2"/>
        <charset val="1"/>
      </rPr>
      <t xml:space="preserve">，允许后续版本交付」，并复核各功能现有</t>
    </r>
    <r>
      <rPr>
        <sz val="10"/>
        <rFont val="Arial"/>
        <family val="0"/>
        <charset val="1"/>
      </rPr>
      <t xml:space="preserve">1/2/5</t>
    </r>
    <r>
      <rPr>
        <sz val="10"/>
        <rFont val="Arial Unicode MS"/>
        <family val="2"/>
        <charset val="1"/>
      </rPr>
      <t xml:space="preserve">取值。</t>
    </r>
  </si>
  <si>
    <t xml:space="preserve">Q-026</t>
  </si>
  <si>
    <r>
      <rPr>
        <sz val="10"/>
        <rFont val="Arial"/>
        <family val="0"/>
        <charset val="1"/>
      </rPr>
      <t xml:space="preserve">4.2.1 </t>
    </r>
    <r>
      <rPr>
        <sz val="10"/>
        <rFont val="Arial Unicode MS"/>
        <family val="2"/>
        <charset val="1"/>
      </rPr>
      <t xml:space="preserve">抄表员管理</t>
    </r>
    <r>
      <rPr>
        <sz val="10"/>
        <rFont val="Arial"/>
        <family val="0"/>
        <charset val="1"/>
      </rPr>
      <t xml:space="preserve">-</t>
    </r>
    <r>
      <rPr>
        <sz val="10"/>
        <rFont val="Arial Unicode MS"/>
        <family val="2"/>
        <charset val="1"/>
      </rPr>
      <t xml:space="preserve">功能描述</t>
    </r>
  </si>
  <si>
    <t xml:space="preserve">对抄表员进行查询、新增、删除、生成的操作。</t>
  </si>
  <si>
    <r>
      <rPr>
        <sz val="10"/>
        <rFont val="Arial Unicode MS"/>
        <family val="2"/>
        <charset val="1"/>
      </rPr>
      <t xml:space="preserve">「生成」与查询、新增、删除并列，但对抄表员做「生成」操作含义不明：是由系统账号批量生成抄表员档案，还是生成抄表任务</t>
    </r>
    <r>
      <rPr>
        <sz val="10"/>
        <rFont val="Arial"/>
        <family val="0"/>
        <charset val="1"/>
      </rPr>
      <t xml:space="preserve">/</t>
    </r>
    <r>
      <rPr>
        <sz val="10"/>
        <rFont val="Arial Unicode MS"/>
        <family val="2"/>
        <charset val="1"/>
      </rPr>
      <t xml:space="preserve">工作量报表？不同理解对应完全不同的功能，且操作序列中只提到「录入修改」，未出现生成，开发和测试无法落地。</t>
    </r>
  </si>
  <si>
    <t xml:space="preserve">改为「对抄表员进行查询、新增、修改、删除操作」；若确有「生成」功能，需单独写明其触发条件、数据来源和生成结果（如「从员工档案批量生成抄表员账号」）。</t>
  </si>
  <si>
    <t xml:space="preserve">Q-027</t>
  </si>
  <si>
    <r>
      <rPr>
        <sz val="10"/>
        <rFont val="Arial"/>
        <family val="0"/>
        <charset val="1"/>
      </rPr>
      <t xml:space="preserve">4.6.2 </t>
    </r>
    <r>
      <rPr>
        <sz val="10"/>
        <rFont val="Arial Unicode MS"/>
        <family val="2"/>
        <charset val="1"/>
      </rPr>
      <t xml:space="preserve">水表口径</t>
    </r>
    <r>
      <rPr>
        <sz val="10"/>
        <rFont val="Arial"/>
        <family val="0"/>
        <charset val="1"/>
      </rPr>
      <t xml:space="preserve">-</t>
    </r>
    <r>
      <rPr>
        <sz val="10"/>
        <rFont val="Arial Unicode MS"/>
        <family val="2"/>
        <charset val="1"/>
      </rPr>
      <t xml:space="preserve">操作序列</t>
    </r>
  </si>
  <si>
    <r>
      <rPr>
        <sz val="10"/>
        <rFont val="Arial"/>
        <family val="0"/>
        <charset val="1"/>
      </rPr>
      <t xml:space="preserve">2</t>
    </r>
    <r>
      <rPr>
        <sz val="10"/>
        <rFont val="Arial Unicode MS"/>
        <family val="2"/>
        <charset val="1"/>
      </rPr>
      <t xml:space="preserve">、打开水表类型，新增修改水表类型</t>
    </r>
  </si>
  <si>
    <r>
      <rPr>
        <sz val="10"/>
        <rFont val="Arial Unicode MS"/>
        <family val="2"/>
        <charset val="1"/>
      </rPr>
      <t xml:space="preserve">本节名称与功能描述均为「水表口径」（维护最大读数、换表读数、换表周期），但操作序列写的是「打开水表类型，新增修改水表类型」，系从</t>
    </r>
    <r>
      <rPr>
        <sz val="10"/>
        <rFont val="Arial"/>
        <family val="0"/>
        <charset val="1"/>
      </rPr>
      <t xml:space="preserve">4.6.1</t>
    </r>
    <r>
      <rPr>
        <sz val="10"/>
        <rFont val="Arial Unicode MS"/>
        <family val="2"/>
        <charset val="1"/>
      </rPr>
      <t xml:space="preserve">复制粘贴未改，操作对象与功能自相矛盾，测试用例无法编写。</t>
    </r>
  </si>
  <si>
    <r>
      <rPr>
        <sz val="10"/>
        <rFont val="Arial Unicode MS"/>
        <family val="2"/>
        <charset val="1"/>
      </rPr>
      <t xml:space="preserve">改为「</t>
    </r>
    <r>
      <rPr>
        <sz val="10"/>
        <rFont val="Arial"/>
        <family val="0"/>
        <charset val="1"/>
      </rPr>
      <t xml:space="preserve">2</t>
    </r>
    <r>
      <rPr>
        <sz val="10"/>
        <rFont val="Arial Unicode MS"/>
        <family val="2"/>
        <charset val="1"/>
      </rPr>
      <t xml:space="preserve">、打开水表口径，新增修改水表口径及其最大读数、换表读数、换表周期等信息」，并排查</t>
    </r>
    <r>
      <rPr>
        <sz val="10"/>
        <rFont val="Arial"/>
        <family val="0"/>
        <charset val="1"/>
      </rPr>
      <t xml:space="preserve">4.6.3</t>
    </r>
    <r>
      <rPr>
        <sz val="10"/>
        <rFont val="Arial Unicode MS"/>
        <family val="2"/>
        <charset val="1"/>
      </rPr>
      <t xml:space="preserve">、</t>
    </r>
    <r>
      <rPr>
        <sz val="10"/>
        <rFont val="Arial"/>
        <family val="0"/>
        <charset val="1"/>
      </rPr>
      <t xml:space="preserve">4.6.4</t>
    </r>
    <r>
      <rPr>
        <sz val="10"/>
        <rFont val="Arial Unicode MS"/>
        <family val="2"/>
        <charset val="1"/>
      </rPr>
      <t xml:space="preserve">等相邻小节的同类复制痕迹。</t>
    </r>
  </si>
  <si>
    <t xml:space="preserve">Q-028</t>
  </si>
  <si>
    <r>
      <rPr>
        <sz val="10"/>
        <rFont val="Arial"/>
        <family val="0"/>
        <charset val="1"/>
      </rPr>
      <t xml:space="preserve">4.7.1 </t>
    </r>
    <r>
      <rPr>
        <sz val="10"/>
        <rFont val="Arial Unicode MS"/>
        <family val="2"/>
        <charset val="1"/>
      </rPr>
      <t xml:space="preserve">手工抄表录入</t>
    </r>
    <r>
      <rPr>
        <sz val="10"/>
        <rFont val="Arial"/>
        <family val="0"/>
        <charset val="1"/>
      </rPr>
      <t xml:space="preserve">-</t>
    </r>
    <r>
      <rPr>
        <sz val="10"/>
        <rFont val="Arial Unicode MS"/>
        <family val="2"/>
        <charset val="1"/>
      </rPr>
      <t xml:space="preserve">功能描述（对照</t>
    </r>
    <r>
      <rPr>
        <sz val="10"/>
        <rFont val="Arial"/>
        <family val="0"/>
        <charset val="1"/>
      </rPr>
      <t xml:space="preserve">3.3</t>
    </r>
    <r>
      <rPr>
        <sz val="10"/>
        <rFont val="Arial Unicode MS"/>
        <family val="2"/>
        <charset val="1"/>
      </rPr>
      <t xml:space="preserve">功能清单）</t>
    </r>
  </si>
  <si>
    <t xml:space="preserve">手工抄表输入，户号、本期行至抄表。</t>
  </si>
  <si>
    <r>
      <rPr>
        <sz val="10"/>
        <rFont val="Arial"/>
        <family val="0"/>
        <charset val="1"/>
      </rPr>
      <t xml:space="preserve">3.3</t>
    </r>
    <r>
      <rPr>
        <sz val="10"/>
        <rFont val="Arial Unicode MS"/>
        <family val="2"/>
        <charset val="1"/>
      </rPr>
      <t xml:space="preserve">功能清单对该功能的描述明显更丰富：「手工抄表时可以看到换表信息、总分表信息、备忘信息。这三项可能影响抄表、行至及实收水量等。抄完表时下面会显示账单信息。」而第</t>
    </r>
    <r>
      <rPr>
        <sz val="10"/>
        <rFont val="Arial"/>
        <family val="0"/>
        <charset val="1"/>
      </rPr>
      <t xml:space="preserve">4</t>
    </r>
    <r>
      <rPr>
        <sz val="10"/>
        <rFont val="Arial Unicode MS"/>
        <family val="2"/>
        <charset val="1"/>
      </rPr>
      <t xml:space="preserve">章详述反而退化成一句话，换表信息、总分表信息、备忘信息、账单展示四项内容全部消失。清单与详述互相矛盾，开发无法确定这四项是否属于本期范围，估算和测试用例都会漏项。</t>
    </r>
  </si>
  <si>
    <r>
      <rPr>
        <sz val="10"/>
        <rFont val="Arial Unicode MS"/>
        <family val="2"/>
        <charset val="1"/>
      </rPr>
      <t xml:space="preserve">将</t>
    </r>
    <r>
      <rPr>
        <sz val="10"/>
        <rFont val="Arial"/>
        <family val="0"/>
        <charset val="1"/>
      </rPr>
      <t xml:space="preserve">4.7.1</t>
    </r>
    <r>
      <rPr>
        <sz val="10"/>
        <rFont val="Arial Unicode MS"/>
        <family val="2"/>
        <charset val="1"/>
      </rPr>
      <t xml:space="preserve">功能描述改写为与清单一致：「手工录入抄表数据（户号、本期行至）；录入界面同时展示换表信息、总分表信息、备忘信息，三项影响水量计算；抄表完成后展示本期账单信息」；输出栏相应补充「本期水量、账单信息」。</t>
    </r>
  </si>
  <si>
    <t xml:space="preserve">Q-029</t>
  </si>
  <si>
    <r>
      <rPr>
        <sz val="10"/>
        <rFont val="Arial"/>
        <family val="0"/>
        <charset val="1"/>
      </rPr>
      <t xml:space="preserve">5.2.2 </t>
    </r>
    <r>
      <rPr>
        <sz val="10"/>
        <rFont val="Arial Unicode MS"/>
        <family val="2"/>
        <charset val="1"/>
      </rPr>
      <t xml:space="preserve">缴费单销账</t>
    </r>
  </si>
  <si>
    <r>
      <rPr>
        <sz val="10"/>
        <rFont val="Arial Unicode MS"/>
        <family val="2"/>
        <charset val="1"/>
      </rPr>
      <t xml:space="preserve">单个</t>
    </r>
    <r>
      <rPr>
        <sz val="10"/>
        <rFont val="Arial"/>
        <family val="0"/>
        <charset val="1"/>
      </rPr>
      <t xml:space="preserve">A</t>
    </r>
    <r>
      <rPr>
        <sz val="10"/>
        <rFont val="Arial Unicode MS"/>
        <family val="2"/>
        <charset val="1"/>
      </rPr>
      <t xml:space="preserve">号码新增</t>
    </r>
  </si>
  <si>
    <r>
      <rPr>
        <sz val="10"/>
        <rFont val="Arial Unicode MS"/>
        <family val="2"/>
        <charset val="1"/>
      </rPr>
      <t xml:space="preserve">「</t>
    </r>
    <r>
      <rPr>
        <sz val="10"/>
        <rFont val="Arial"/>
        <family val="0"/>
        <charset val="1"/>
      </rPr>
      <t xml:space="preserve">A</t>
    </r>
    <r>
      <rPr>
        <sz val="10"/>
        <rFont val="Arial Unicode MS"/>
        <family val="2"/>
        <charset val="1"/>
      </rPr>
      <t xml:space="preserve">号码」为通信系统（主叫号码）术语，「单个</t>
    </r>
    <r>
      <rPr>
        <sz val="10"/>
        <rFont val="Arial"/>
        <family val="0"/>
        <charset val="1"/>
      </rPr>
      <t xml:space="preserve">A</t>
    </r>
    <r>
      <rPr>
        <sz val="10"/>
        <rFont val="Arial Unicode MS"/>
        <family val="2"/>
        <charset val="1"/>
      </rPr>
      <t xml:space="preserve">号码新增」整行是异系统模板残留，紧贴在「缴费单销账」标题之下充当接口说明，会使银行对接开发人员对接口用途产生误解。</t>
    </r>
  </si>
  <si>
    <r>
      <rPr>
        <sz val="10"/>
        <rFont val="Arial Unicode MS"/>
        <family val="2"/>
        <charset val="1"/>
      </rPr>
      <t xml:space="preserve">删除「单个</t>
    </r>
    <r>
      <rPr>
        <sz val="10"/>
        <rFont val="Arial"/>
        <family val="0"/>
        <charset val="1"/>
      </rPr>
      <t xml:space="preserve">A</t>
    </r>
    <r>
      <rPr>
        <sz val="10"/>
        <rFont val="Arial Unicode MS"/>
        <family val="2"/>
        <charset val="1"/>
      </rPr>
      <t xml:space="preserve">号码新增」，改为接口用途说明，如「银行收款成功后调用本接口，对指定户号</t>
    </r>
    <r>
      <rPr>
        <sz val="10"/>
        <rFont val="Arial"/>
        <family val="0"/>
        <charset val="1"/>
      </rPr>
      <t xml:space="preserve">/</t>
    </r>
    <r>
      <rPr>
        <sz val="10"/>
        <rFont val="Arial Unicode MS"/>
        <family val="2"/>
        <charset val="1"/>
      </rPr>
      <t xml:space="preserve">欠费流水的缴费单进行销账」。</t>
    </r>
  </si>
  <si>
    <t xml:space="preserve">Q-030</t>
  </si>
  <si>
    <r>
      <rPr>
        <sz val="10"/>
        <rFont val="Arial"/>
        <family val="0"/>
        <charset val="1"/>
      </rPr>
      <t xml:space="preserve">6.5 </t>
    </r>
    <r>
      <rPr>
        <sz val="10"/>
        <rFont val="Arial Unicode MS"/>
        <family val="2"/>
        <charset val="1"/>
      </rPr>
      <t xml:space="preserve">伸缩性</t>
    </r>
  </si>
  <si>
    <t xml:space="preserve">日后若信息量较大，则系统可相应增加服务器实现扩展。</t>
  </si>
  <si>
    <t xml:space="preserve">「信息量较大」没有量化阈值，「相应增加服务器实现扩展」没有扩展目标和验证方法，无法设计伸缩性测试用例，也无法在验收时判断该需求是否满足。</t>
  </si>
  <si>
    <r>
      <rPr>
        <sz val="10"/>
        <rFont val="Arial Unicode MS"/>
        <family val="2"/>
        <charset val="1"/>
      </rPr>
      <t xml:space="preserve">量化触发条件与扩展目标，如：「当单表数据量超过</t>
    </r>
    <r>
      <rPr>
        <sz val="10"/>
        <rFont val="Arial"/>
        <family val="0"/>
        <charset val="1"/>
      </rPr>
      <t xml:space="preserve">X</t>
    </r>
    <r>
      <rPr>
        <sz val="10"/>
        <rFont val="Arial Unicode MS"/>
        <family val="2"/>
        <charset val="1"/>
      </rPr>
      <t xml:space="preserve">万条或日均交易超过</t>
    </r>
    <r>
      <rPr>
        <sz val="10"/>
        <rFont val="Arial"/>
        <family val="0"/>
        <charset val="1"/>
      </rPr>
      <t xml:space="preserve">Y</t>
    </r>
    <r>
      <rPr>
        <sz val="10"/>
        <rFont val="Arial Unicode MS"/>
        <family val="2"/>
        <charset val="1"/>
      </rPr>
      <t xml:space="preserve">笔、应用服务器</t>
    </r>
    <r>
      <rPr>
        <sz val="10"/>
        <rFont val="Arial"/>
        <family val="0"/>
        <charset val="1"/>
      </rPr>
      <t xml:space="preserve">CPU</t>
    </r>
    <r>
      <rPr>
        <sz val="10"/>
        <rFont val="Arial Unicode MS"/>
        <family val="2"/>
        <charset val="1"/>
      </rPr>
      <t xml:space="preserve">峰值利用率连续</t>
    </r>
    <r>
      <rPr>
        <sz val="10"/>
        <rFont val="Arial"/>
        <family val="0"/>
        <charset val="1"/>
      </rPr>
      <t xml:space="preserve">3</t>
    </r>
    <r>
      <rPr>
        <sz val="10"/>
        <rFont val="Arial Unicode MS"/>
        <family val="2"/>
        <charset val="1"/>
      </rPr>
      <t xml:space="preserve">日超</t>
    </r>
    <r>
      <rPr>
        <sz val="10"/>
        <rFont val="Arial"/>
        <family val="0"/>
        <charset val="1"/>
      </rPr>
      <t xml:space="preserve">70%</t>
    </r>
    <r>
      <rPr>
        <sz val="10"/>
        <rFont val="Arial Unicode MS"/>
        <family val="2"/>
        <charset val="1"/>
      </rPr>
      <t xml:space="preserve">时，可通过增加应用节点水平扩展；扩展</t>
    </r>
    <r>
      <rPr>
        <sz val="10"/>
        <rFont val="Arial"/>
        <family val="0"/>
        <charset val="1"/>
      </rPr>
      <t xml:space="preserve">1</t>
    </r>
    <r>
      <rPr>
        <sz val="10"/>
        <rFont val="Arial Unicode MS"/>
        <family val="2"/>
        <charset val="1"/>
      </rPr>
      <t xml:space="preserve">倍节点后系统吞吐量提升不低于</t>
    </r>
    <r>
      <rPr>
        <sz val="10"/>
        <rFont val="Arial"/>
        <family val="0"/>
        <charset val="1"/>
      </rPr>
      <t xml:space="preserve">80%</t>
    </r>
    <r>
      <rPr>
        <sz val="10"/>
        <rFont val="Arial Unicode MS"/>
        <family val="2"/>
        <charset val="1"/>
      </rPr>
      <t xml:space="preserve">，扩展过程不中断服务」。</t>
    </r>
  </si>
  <si>
    <t xml:space="preserve">Q-031</t>
  </si>
  <si>
    <r>
      <rPr>
        <sz val="10"/>
        <rFont val="Arial"/>
        <family val="0"/>
        <charset val="1"/>
      </rPr>
      <t xml:space="preserve">6.6 </t>
    </r>
    <r>
      <rPr>
        <sz val="10"/>
        <rFont val="Arial Unicode MS"/>
        <family val="2"/>
        <charset val="1"/>
      </rPr>
      <t xml:space="preserve">可用性（兼</t>
    </r>
    <r>
      <rPr>
        <sz val="10"/>
        <rFont val="Arial"/>
        <family val="0"/>
        <charset val="1"/>
      </rPr>
      <t xml:space="preserve">6.1</t>
    </r>
    <r>
      <rPr>
        <sz val="10"/>
        <rFont val="Arial Unicode MS"/>
        <family val="2"/>
        <charset val="1"/>
      </rPr>
      <t xml:space="preserve">系统性能）</t>
    </r>
  </si>
  <si>
    <t xml:space="preserve">可用性指系统提供服务必须一直处于可用状态，对于用户的操作请求总是能够在有限的时间内返回结果</t>
  </si>
  <si>
    <r>
      <rPr>
        <sz val="10"/>
        <rFont val="Arial Unicode MS"/>
        <family val="2"/>
        <charset val="1"/>
      </rPr>
      <t xml:space="preserve">「有限的时间」无量化上限，「一直处于可用状态」「总是」无法通过有限测试验证；本节通篇没有年度可用率指标（如≥</t>
    </r>
    <r>
      <rPr>
        <sz val="10"/>
        <rFont val="Arial"/>
        <family val="0"/>
        <charset val="1"/>
      </rPr>
      <t xml:space="preserve">99.9%</t>
    </r>
    <r>
      <rPr>
        <sz val="10"/>
        <rFont val="Arial Unicode MS"/>
        <family val="2"/>
        <charset val="1"/>
      </rPr>
      <t xml:space="preserve">）和故障切换时间要求，也无</t>
    </r>
    <r>
      <rPr>
        <sz val="10"/>
        <rFont val="Arial"/>
        <family val="0"/>
        <charset val="1"/>
      </rPr>
      <t xml:space="preserve">RTO/RPO</t>
    </r>
    <r>
      <rPr>
        <sz val="10"/>
        <rFont val="Arial Unicode MS"/>
        <family val="2"/>
        <charset val="1"/>
      </rPr>
      <t xml:space="preserve">（尽管总体非功能引用了</t>
    </r>
    <r>
      <rPr>
        <sz val="10"/>
        <rFont val="Arial"/>
        <family val="0"/>
        <charset val="1"/>
      </rPr>
      <t xml:space="preserve">GB/T 20988</t>
    </r>
    <r>
      <rPr>
        <sz val="10"/>
        <rFont val="Arial Unicode MS"/>
        <family val="2"/>
        <charset val="1"/>
      </rPr>
      <t xml:space="preserve">灾备规范，却未定级），后半段还是缓存</t>
    </r>
    <r>
      <rPr>
        <sz val="10"/>
        <rFont val="Arial"/>
        <family val="0"/>
        <charset val="1"/>
      </rPr>
      <t xml:space="preserve">/</t>
    </r>
    <r>
      <rPr>
        <sz val="10"/>
        <rFont val="Arial Unicode MS"/>
        <family val="2"/>
        <charset val="1"/>
      </rPr>
      <t xml:space="preserve">主备的实现讨论而非需求，可用性需求整体不可测。同时</t>
    </r>
    <r>
      <rPr>
        <sz val="10"/>
        <rFont val="Arial"/>
        <family val="0"/>
        <charset val="1"/>
      </rPr>
      <t xml:space="preserve">6.1</t>
    </r>
    <r>
      <rPr>
        <sz val="10"/>
        <rFont val="Arial Unicode MS"/>
        <family val="2"/>
        <charset val="1"/>
      </rPr>
      <t xml:space="preserve">罗列的质量属性中没有可维护性，全文亦无可维护性量化要求（如</t>
    </r>
    <r>
      <rPr>
        <sz val="10"/>
        <rFont val="Arial"/>
        <family val="0"/>
        <charset val="1"/>
      </rPr>
      <t xml:space="preserve">MTTR</t>
    </r>
    <r>
      <rPr>
        <sz val="10"/>
        <rFont val="Arial Unicode MS"/>
        <family val="2"/>
        <charset val="1"/>
      </rPr>
      <t xml:space="preserve">、问题响应时限），运维</t>
    </r>
    <r>
      <rPr>
        <sz val="10"/>
        <rFont val="Arial"/>
        <family val="0"/>
        <charset val="1"/>
      </rPr>
      <t xml:space="preserve">SLA</t>
    </r>
    <r>
      <rPr>
        <sz val="10"/>
        <rFont val="Arial Unicode MS"/>
        <family val="2"/>
        <charset val="1"/>
      </rPr>
      <t xml:space="preserve">无法约定。</t>
    </r>
  </si>
  <si>
    <r>
      <rPr>
        <sz val="10"/>
        <rFont val="Arial Unicode MS"/>
        <family val="2"/>
        <charset val="1"/>
      </rPr>
      <t xml:space="preserve">改写为可测指标：「系统年可用率≥</t>
    </r>
    <r>
      <rPr>
        <sz val="10"/>
        <rFont val="Arial"/>
        <family val="0"/>
        <charset val="1"/>
      </rPr>
      <t xml:space="preserve">99.9%</t>
    </r>
    <r>
      <rPr>
        <sz val="10"/>
        <rFont val="Arial Unicode MS"/>
        <family val="2"/>
        <charset val="1"/>
      </rPr>
      <t xml:space="preserve">（全年累计非计划停机≤</t>
    </r>
    <r>
      <rPr>
        <sz val="10"/>
        <rFont val="Arial"/>
        <family val="0"/>
        <charset val="1"/>
      </rPr>
      <t xml:space="preserve">8.8</t>
    </r>
    <r>
      <rPr>
        <sz val="10"/>
        <rFont val="Arial Unicode MS"/>
        <family val="2"/>
        <charset val="1"/>
      </rPr>
      <t xml:space="preserve">小时）；任何请求</t>
    </r>
    <r>
      <rPr>
        <sz val="10"/>
        <rFont val="Arial"/>
        <family val="0"/>
        <charset val="1"/>
      </rPr>
      <t xml:space="preserve">30</t>
    </r>
    <r>
      <rPr>
        <sz val="10"/>
        <rFont val="Arial Unicode MS"/>
        <family val="2"/>
        <charset val="1"/>
      </rPr>
      <t xml:space="preserve">秒内返回结果或明确错误提示；主节点故障时备节点接管时间≤</t>
    </r>
    <r>
      <rPr>
        <sz val="10"/>
        <rFont val="Arial"/>
        <family val="0"/>
        <charset val="1"/>
      </rPr>
      <t xml:space="preserve">5</t>
    </r>
    <r>
      <rPr>
        <sz val="10"/>
        <rFont val="Arial Unicode MS"/>
        <family val="2"/>
        <charset val="1"/>
      </rPr>
      <t xml:space="preserve">分钟，切换期间已提交的缴费数据不丢失；</t>
    </r>
    <r>
      <rPr>
        <sz val="10"/>
        <rFont val="Arial"/>
        <family val="0"/>
        <charset val="1"/>
      </rPr>
      <t xml:space="preserve">RTO≤4</t>
    </r>
    <r>
      <rPr>
        <sz val="10"/>
        <rFont val="Arial Unicode MS"/>
        <family val="2"/>
        <charset val="1"/>
      </rPr>
      <t xml:space="preserve">小时</t>
    </r>
    <r>
      <rPr>
        <sz val="10"/>
        <rFont val="Arial"/>
        <family val="0"/>
        <charset val="1"/>
      </rPr>
      <t xml:space="preserve">/RPO≤24</t>
    </r>
    <r>
      <rPr>
        <sz val="10"/>
        <rFont val="Arial Unicode MS"/>
        <family val="2"/>
        <charset val="1"/>
      </rPr>
      <t xml:space="preserve">小时（与日备份策略一致）；计划内维护窗口另行约定」，实现方案性文字移入设计文档；新增可维护性小节：一般缺陷修复≤</t>
    </r>
    <r>
      <rPr>
        <sz val="10"/>
        <rFont val="Arial"/>
        <family val="0"/>
        <charset val="1"/>
      </rPr>
      <t xml:space="preserve">3</t>
    </r>
    <r>
      <rPr>
        <sz val="10"/>
        <rFont val="Arial Unicode MS"/>
        <family val="2"/>
        <charset val="1"/>
      </rPr>
      <t xml:space="preserve">个工作日、紧急缺陷</t>
    </r>
    <r>
      <rPr>
        <sz val="10"/>
        <rFont val="Arial"/>
        <family val="0"/>
        <charset val="1"/>
      </rPr>
      <t xml:space="preserve">MTTR≤4</t>
    </r>
    <r>
      <rPr>
        <sz val="10"/>
        <rFont val="Arial Unicode MS"/>
        <family val="2"/>
        <charset val="1"/>
      </rPr>
      <t xml:space="preserve">小时、提供运维手册与日志规范。</t>
    </r>
  </si>
  <si>
    <t xml:space="preserve">Q-032</t>
  </si>
  <si>
    <r>
      <rPr>
        <sz val="10"/>
        <rFont val="Arial"/>
        <family val="0"/>
        <charset val="1"/>
      </rPr>
      <t xml:space="preserve">6.7 </t>
    </r>
    <r>
      <rPr>
        <sz val="10"/>
        <rFont val="Arial Unicode MS"/>
        <family val="2"/>
        <charset val="1"/>
      </rPr>
      <t xml:space="preserve">易用性</t>
    </r>
  </si>
  <si>
    <t xml:space="preserve">要与同一界面上的其他按钮易于区分，能望文知意最好；按钮名称应该易懂，用词准确，屏弃摸棱两可的字眼</t>
  </si>
  <si>
    <r>
      <rPr>
        <sz val="10"/>
        <rFont val="Arial Unicode MS"/>
        <family val="2"/>
        <charset val="1"/>
      </rPr>
      <t xml:space="preserve">「能望文知意最好」「易懂」「用词准确」均为主观描述且「最好」属非强制期望词，无法编写测试用例判定通过与否；细则中「选项数较少」「界面空间较小」「选择几率的高底」同样无判断标准；条款间还有歧义（</t>
    </r>
    <r>
      <rPr>
        <sz val="10"/>
        <rFont val="Arial"/>
        <family val="0"/>
        <charset val="1"/>
      </rPr>
      <t xml:space="preserve">l</t>
    </r>
    <r>
      <rPr>
        <sz val="10"/>
        <rFont val="Arial Unicode MS"/>
        <family val="2"/>
        <charset val="1"/>
      </rPr>
      <t xml:space="preserve">条「选项数相同时用选项框」语义不通）。且「屏弃」应为「摒弃」、「摸棱两可」应为「模棱两可」、「高底」应为「高低」——在要求「用词准确」的条款中连续出现错别字，自相讽刺，影响文档专业性。</t>
    </r>
  </si>
  <si>
    <r>
      <rPr>
        <sz val="10"/>
        <rFont val="Arial Unicode MS"/>
        <family val="2"/>
        <charset val="1"/>
      </rPr>
      <t xml:space="preserve">改为可检查条款：「按钮名称使用《业务术语表》标准词汇，同一界面按钮名称不重复；组织不少于</t>
    </r>
    <r>
      <rPr>
        <sz val="10"/>
        <rFont val="Arial"/>
        <family val="0"/>
        <charset val="1"/>
      </rPr>
      <t xml:space="preserve">5</t>
    </r>
    <r>
      <rPr>
        <sz val="10"/>
        <rFont val="Arial Unicode MS"/>
        <family val="2"/>
        <charset val="1"/>
      </rPr>
      <t xml:space="preserve">名典型营业人员做可用性测试，不查阅帮助完成核心任务的成功率≥</t>
    </r>
    <r>
      <rPr>
        <sz val="10"/>
        <rFont val="Arial"/>
        <family val="0"/>
        <charset val="1"/>
      </rPr>
      <t xml:space="preserve">90%</t>
    </r>
    <r>
      <rPr>
        <sz val="10"/>
        <rFont val="Arial Unicode MS"/>
        <family val="2"/>
        <charset val="1"/>
      </rPr>
      <t xml:space="preserve">」；为「较少</t>
    </r>
    <r>
      <rPr>
        <sz val="10"/>
        <rFont val="Arial"/>
        <family val="0"/>
        <charset val="1"/>
      </rPr>
      <t xml:space="preserve">/</t>
    </r>
    <r>
      <rPr>
        <sz val="10"/>
        <rFont val="Arial Unicode MS"/>
        <family val="2"/>
        <charset val="1"/>
      </rPr>
      <t xml:space="preserve">较小」给出数值界限（如选项≤</t>
    </r>
    <r>
      <rPr>
        <sz val="10"/>
        <rFont val="Arial"/>
        <family val="0"/>
        <charset val="1"/>
      </rPr>
      <t xml:space="preserve">4</t>
    </r>
    <r>
      <rPr>
        <sz val="10"/>
        <rFont val="Arial Unicode MS"/>
        <family val="2"/>
        <charset val="1"/>
      </rPr>
      <t xml:space="preserve">个用选项框，</t>
    </r>
    <r>
      <rPr>
        <sz val="10"/>
        <rFont val="Arial"/>
        <family val="0"/>
        <charset val="1"/>
      </rPr>
      <t xml:space="preserve">&gt;4</t>
    </r>
    <r>
      <rPr>
        <sz val="10"/>
        <rFont val="Arial Unicode MS"/>
        <family val="2"/>
        <charset val="1"/>
      </rPr>
      <t xml:space="preserve">个用下拉框）；修正「屏弃」「摸棱」「高底」错别字并复核</t>
    </r>
    <r>
      <rPr>
        <sz val="10"/>
        <rFont val="Arial"/>
        <family val="0"/>
        <charset val="1"/>
      </rPr>
      <t xml:space="preserve">l</t>
    </r>
    <r>
      <rPr>
        <sz val="10"/>
        <rFont val="Arial Unicode MS"/>
        <family val="2"/>
        <charset val="1"/>
      </rPr>
      <t xml:space="preserve">条语义。</t>
    </r>
  </si>
  <si>
    <t xml:space="preserve">Q-033</t>
  </si>
  <si>
    <r>
      <rPr>
        <sz val="10"/>
        <rFont val="Arial"/>
        <family val="0"/>
        <charset val="1"/>
      </rPr>
      <t xml:space="preserve">6.9 </t>
    </r>
    <r>
      <rPr>
        <sz val="10"/>
        <rFont val="Arial Unicode MS"/>
        <family val="2"/>
        <charset val="1"/>
      </rPr>
      <t xml:space="preserve">设计约束</t>
    </r>
    <r>
      <rPr>
        <sz val="10"/>
        <rFont val="Arial"/>
        <family val="0"/>
        <charset val="1"/>
      </rPr>
      <t xml:space="preserve">-d)</t>
    </r>
  </si>
  <si>
    <t xml:space="preserve">系统间调用最好是只读，系统间的修改用事件或者消息来实现比较靠谱。</t>
  </si>
  <si>
    <r>
      <rPr>
        <sz val="10"/>
        <rFont val="Arial Unicode MS"/>
        <family val="2"/>
        <charset val="1"/>
      </rPr>
      <t xml:space="preserve">「最好」「比较靠谱」是口语化、非强制表述，作为设计约束无法判定遵守与否——评审和验收时无法认定「未用事件实现修改」算不算违反约束；且本条与</t>
    </r>
    <r>
      <rPr>
        <sz val="10"/>
        <rFont val="Arial"/>
        <family val="0"/>
        <charset val="1"/>
      </rPr>
      <t xml:space="preserve">i)</t>
    </r>
    <r>
      <rPr>
        <sz val="10"/>
        <rFont val="Arial Unicode MS"/>
        <family val="2"/>
        <charset val="1"/>
      </rPr>
      <t xml:space="preserve">「系统之间交互，使用的是只读</t>
    </r>
    <r>
      <rPr>
        <sz val="10"/>
        <rFont val="Arial"/>
        <family val="0"/>
        <charset val="1"/>
      </rPr>
      <t xml:space="preserve">API……</t>
    </r>
    <r>
      <rPr>
        <sz val="10"/>
        <rFont val="Arial Unicode MS"/>
        <family val="2"/>
        <charset val="1"/>
      </rPr>
      <t xml:space="preserve">写部分采用事件驱动」内容重复，两条口径还不完全一致（「最好只读」与「使用的是只读</t>
    </r>
    <r>
      <rPr>
        <sz val="10"/>
        <rFont val="Arial"/>
        <family val="0"/>
        <charset val="1"/>
      </rPr>
      <t xml:space="preserve">API</t>
    </r>
    <r>
      <rPr>
        <sz val="10"/>
        <rFont val="Arial Unicode MS"/>
        <family val="2"/>
        <charset val="1"/>
      </rPr>
      <t xml:space="preserve">」一为建议一为断言）。</t>
    </r>
  </si>
  <si>
    <r>
      <rPr>
        <sz val="10"/>
        <rFont val="Arial Unicode MS"/>
        <family val="2"/>
        <charset val="1"/>
      </rPr>
      <t xml:space="preserve">合并</t>
    </r>
    <r>
      <rPr>
        <sz val="10"/>
        <rFont val="Arial"/>
        <family val="0"/>
        <charset val="1"/>
      </rPr>
      <t xml:space="preserve">d)</t>
    </r>
    <r>
      <rPr>
        <sz val="10"/>
        <rFont val="Arial Unicode MS"/>
        <family val="2"/>
        <charset val="1"/>
      </rPr>
      <t xml:space="preserve">与</t>
    </r>
    <r>
      <rPr>
        <sz val="10"/>
        <rFont val="Arial"/>
        <family val="0"/>
        <charset val="1"/>
      </rPr>
      <t xml:space="preserve">i)</t>
    </r>
    <r>
      <rPr>
        <sz val="10"/>
        <rFont val="Arial Unicode MS"/>
        <family val="2"/>
        <charset val="1"/>
      </rPr>
      <t xml:space="preserve">并改为强制条款：「系统间交互必须通过只读</t>
    </r>
    <r>
      <rPr>
        <sz val="10"/>
        <rFont val="Arial"/>
        <family val="0"/>
        <charset val="1"/>
      </rPr>
      <t xml:space="preserve">API</t>
    </r>
    <r>
      <rPr>
        <sz val="10"/>
        <rFont val="Arial Unicode MS"/>
        <family val="2"/>
        <charset val="1"/>
      </rPr>
      <t xml:space="preserve">进行；跨系统数据修改必须经事件</t>
    </r>
    <r>
      <rPr>
        <sz val="10"/>
        <rFont val="Arial"/>
        <family val="0"/>
        <charset val="1"/>
      </rPr>
      <t xml:space="preserve">/</t>
    </r>
    <r>
      <rPr>
        <sz val="10"/>
        <rFont val="Arial Unicode MS"/>
        <family val="2"/>
        <charset val="1"/>
      </rPr>
      <t xml:space="preserve">消息机制异步实现，禁止直接写入其他系统数据库」；全文删除「最好」「比较靠谱」等口语化措辞（同节</t>
    </r>
    <r>
      <rPr>
        <sz val="10"/>
        <rFont val="Arial"/>
        <family val="0"/>
        <charset val="1"/>
      </rPr>
      <t xml:space="preserve">a)</t>
    </r>
    <r>
      <rPr>
        <sz val="10"/>
        <rFont val="Arial Unicode MS"/>
        <family val="2"/>
        <charset val="1"/>
      </rPr>
      <t xml:space="preserve">的「</t>
    </r>
    <r>
      <rPr>
        <sz val="10"/>
        <rFont val="Arial"/>
        <family val="0"/>
        <charset val="1"/>
      </rPr>
      <t xml:space="preserve">CURD</t>
    </r>
    <r>
      <rPr>
        <sz val="10"/>
        <rFont val="Arial Unicode MS"/>
        <family val="2"/>
        <charset val="1"/>
      </rPr>
      <t xml:space="preserve">」应更正为「</t>
    </r>
    <r>
      <rPr>
        <sz val="10"/>
        <rFont val="Arial"/>
        <family val="0"/>
        <charset val="1"/>
      </rPr>
      <t xml:space="preserve">CRUD</t>
    </r>
    <r>
      <rPr>
        <sz val="10"/>
        <rFont val="Arial Unicode MS"/>
        <family val="2"/>
        <charset val="1"/>
      </rPr>
      <t xml:space="preserve">」）。</t>
    </r>
  </si>
  <si>
    <t xml:space="preserve">Q-034</t>
  </si>
  <si>
    <r>
      <rPr>
        <sz val="10"/>
        <rFont val="Arial"/>
        <family val="0"/>
        <charset val="1"/>
      </rPr>
      <t xml:space="preserve">7.1 </t>
    </r>
    <r>
      <rPr>
        <sz val="10"/>
        <rFont val="Arial Unicode MS"/>
        <family val="2"/>
        <charset val="1"/>
      </rPr>
      <t xml:space="preserve">性能及安全要求</t>
    </r>
  </si>
  <si>
    <t xml:space="preserve">建立、维护云计算平台的应急响应计划并有效实施，以确保在紧急情况下重要信息资源的可用性和操作的可持续性。</t>
  </si>
  <si>
    <r>
      <rPr>
        <sz val="10"/>
        <rFont val="Arial Unicode MS"/>
        <family val="2"/>
        <charset val="1"/>
      </rPr>
      <t xml:space="preserve">第</t>
    </r>
    <r>
      <rPr>
        <sz val="10"/>
        <rFont val="Arial"/>
        <family val="0"/>
        <charset val="1"/>
      </rPr>
      <t xml:space="preserve">7</t>
    </r>
    <r>
      <rPr>
        <sz val="10"/>
        <rFont val="Arial Unicode MS"/>
        <family val="2"/>
        <charset val="1"/>
      </rPr>
      <t xml:space="preserve">章</t>
    </r>
    <r>
      <rPr>
        <sz val="10"/>
        <rFont val="Arial"/>
        <family val="0"/>
        <charset val="1"/>
      </rPr>
      <t xml:space="preserve">7.1</t>
    </r>
    <r>
      <rPr>
        <sz val="10"/>
        <rFont val="Arial Unicode MS"/>
        <family val="2"/>
        <charset val="1"/>
      </rPr>
      <t xml:space="preserve">整节共</t>
    </r>
    <r>
      <rPr>
        <sz val="10"/>
        <rFont val="Arial"/>
        <family val="0"/>
        <charset val="1"/>
      </rPr>
      <t xml:space="preserve">6</t>
    </r>
    <r>
      <rPr>
        <sz val="10"/>
        <rFont val="Arial Unicode MS"/>
        <family val="2"/>
        <charset val="1"/>
      </rPr>
      <t xml:space="preserve">段内容（灾备规范</t>
    </r>
    <r>
      <rPr>
        <sz val="10"/>
        <rFont val="Arial"/>
        <family val="0"/>
        <charset val="1"/>
      </rPr>
      <t xml:space="preserve">GB/T 20988-2007</t>
    </r>
    <r>
      <rPr>
        <sz val="10"/>
        <rFont val="Arial Unicode MS"/>
        <family val="2"/>
        <charset val="1"/>
      </rPr>
      <t xml:space="preserve">、应急响应计划、事件处理计划、断点续传、</t>
    </r>
    <r>
      <rPr>
        <sz val="10"/>
        <rFont val="Arial"/>
        <family val="0"/>
        <charset val="1"/>
      </rPr>
      <t xml:space="preserve">RAID</t>
    </r>
    <r>
      <rPr>
        <sz val="10"/>
        <rFont val="Arial Unicode MS"/>
        <family val="2"/>
        <charset val="1"/>
      </rPr>
      <t xml:space="preserve">双机备份、</t>
    </r>
    <r>
      <rPr>
        <sz val="10"/>
        <rFont val="Arial"/>
        <family val="0"/>
        <charset val="1"/>
      </rPr>
      <t xml:space="preserve">30</t>
    </r>
    <r>
      <rPr>
        <sz val="10"/>
        <rFont val="Arial Unicode MS"/>
        <family val="2"/>
        <charset val="1"/>
      </rPr>
      <t xml:space="preserve">天日备份）与第</t>
    </r>
    <r>
      <rPr>
        <sz val="10"/>
        <rFont val="Arial"/>
        <family val="0"/>
        <charset val="1"/>
      </rPr>
      <t xml:space="preserve">6</t>
    </r>
    <r>
      <rPr>
        <sz val="10"/>
        <rFont val="Arial Unicode MS"/>
        <family val="2"/>
        <charset val="1"/>
      </rPr>
      <t xml:space="preserve">章开头的总体非功能需求逐字重复，未提供任何新信息；标题称「性能及安全要求」但内容只有灾备</t>
    </r>
    <r>
      <rPr>
        <sz val="10"/>
        <rFont val="Arial"/>
        <family val="0"/>
        <charset val="1"/>
      </rPr>
      <t xml:space="preserve">/</t>
    </r>
    <r>
      <rPr>
        <sz val="10"/>
        <rFont val="Arial Unicode MS"/>
        <family val="2"/>
        <charset val="1"/>
      </rPr>
      <t xml:space="preserve">备份条款、无任何性能要求，题文不符。重复条款日后修改极易只改一处造成前后不一致。</t>
    </r>
  </si>
  <si>
    <r>
      <rPr>
        <sz val="10"/>
        <rFont val="Arial Unicode MS"/>
        <family val="2"/>
        <charset val="1"/>
      </rPr>
      <t xml:space="preserve">删除</t>
    </r>
    <r>
      <rPr>
        <sz val="10"/>
        <rFont val="Arial"/>
        <family val="0"/>
        <charset val="1"/>
      </rPr>
      <t xml:space="preserve">7.1</t>
    </r>
    <r>
      <rPr>
        <sz val="10"/>
        <rFont val="Arial Unicode MS"/>
        <family val="2"/>
        <charset val="1"/>
      </rPr>
      <t xml:space="preserve">重复内容，改为「性能及安全要求详见第</t>
    </r>
    <r>
      <rPr>
        <sz val="10"/>
        <rFont val="Arial"/>
        <family val="0"/>
        <charset val="1"/>
      </rPr>
      <t xml:space="preserve">6</t>
    </r>
    <r>
      <rPr>
        <sz val="10"/>
        <rFont val="Arial Unicode MS"/>
        <family val="2"/>
        <charset val="1"/>
      </rPr>
      <t xml:space="preserve">章」；若第</t>
    </r>
    <r>
      <rPr>
        <sz val="10"/>
        <rFont val="Arial"/>
        <family val="0"/>
        <charset val="1"/>
      </rPr>
      <t xml:space="preserve">7</t>
    </r>
    <r>
      <rPr>
        <sz val="10"/>
        <rFont val="Arial Unicode MS"/>
        <family val="2"/>
        <charset val="1"/>
      </rPr>
      <t xml:space="preserve">章再无其他内容，建议整章删除并调整章节编号。</t>
    </r>
  </si>
  <si>
    <t xml:space="preserve">Q-035</t>
  </si>
  <si>
    <r>
      <rPr>
        <sz val="10"/>
        <rFont val="Arial"/>
        <family val="0"/>
        <charset val="1"/>
      </rPr>
      <t xml:space="preserve">3.1 </t>
    </r>
    <r>
      <rPr>
        <sz val="10"/>
        <rFont val="Arial Unicode MS"/>
        <family val="2"/>
        <charset val="1"/>
      </rPr>
      <t xml:space="preserve">供水营销管理系统简介（全文用字）</t>
    </r>
  </si>
  <si>
    <t xml:space="preserve">票据管理、帐务管理、掌上机抄表管理、银行划帐</t>
  </si>
  <si>
    <r>
      <rPr>
        <sz val="10"/>
        <rFont val="Arial Unicode MS"/>
        <family val="2"/>
        <charset val="1"/>
      </rPr>
      <t xml:space="preserve">「帐</t>
    </r>
    <r>
      <rPr>
        <sz val="10"/>
        <rFont val="Arial"/>
        <family val="0"/>
        <charset val="1"/>
      </rPr>
      <t xml:space="preserve">/</t>
    </r>
    <r>
      <rPr>
        <sz val="10"/>
        <rFont val="Arial Unicode MS"/>
        <family val="2"/>
        <charset val="1"/>
      </rPr>
      <t xml:space="preserve">账」混用：</t>
    </r>
    <r>
      <rPr>
        <sz val="10"/>
        <rFont val="Arial"/>
        <family val="0"/>
        <charset val="1"/>
      </rPr>
      <t xml:space="preserve">3.1</t>
    </r>
    <r>
      <rPr>
        <sz val="10"/>
        <rFont val="Arial Unicode MS"/>
        <family val="2"/>
        <charset val="1"/>
      </rPr>
      <t xml:space="preserve">用「帐务管理」「银行划帐」，而</t>
    </r>
    <r>
      <rPr>
        <sz val="10"/>
        <rFont val="Arial"/>
        <family val="0"/>
        <charset val="1"/>
      </rPr>
      <t xml:space="preserve">3.3</t>
    </r>
    <r>
      <rPr>
        <sz val="10"/>
        <rFont val="Arial Unicode MS"/>
        <family val="2"/>
        <charset val="1"/>
      </rPr>
      <t xml:space="preserve">、</t>
    </r>
    <r>
      <rPr>
        <sz val="10"/>
        <rFont val="Arial"/>
        <family val="0"/>
        <charset val="1"/>
      </rPr>
      <t xml:space="preserve">4.4</t>
    </r>
    <r>
      <rPr>
        <sz val="10"/>
        <rFont val="Arial Unicode MS"/>
        <family val="2"/>
        <charset val="1"/>
      </rPr>
      <t xml:space="preserve">等处用「销账」「账单」。按现行用字规范，财务义项应统一用「账」。混用会导致系统菜单、报表表头、检索关键字不一致（搜「账务」检索不到「帐务」）。</t>
    </r>
  </si>
  <si>
    <t xml:space="preserve">全文统一为「账」：「帐务管理」改为「账务管理」，「银行划帐」改为「银行划账」，并在文档校对项中增加「帐→账」全局替换检查。</t>
  </si>
  <si>
    <t xml:space="preserve">Q-036</t>
  </si>
  <si>
    <r>
      <rPr>
        <sz val="10"/>
        <rFont val="Arial"/>
        <family val="0"/>
        <charset val="1"/>
      </rPr>
      <t xml:space="preserve">4.1.4 </t>
    </r>
    <r>
      <rPr>
        <sz val="10"/>
        <rFont val="Arial Unicode MS"/>
        <family val="2"/>
        <charset val="1"/>
      </rPr>
      <t xml:space="preserve">行业分类</t>
    </r>
    <r>
      <rPr>
        <sz val="10"/>
        <rFont val="Arial"/>
        <family val="0"/>
        <charset val="1"/>
      </rPr>
      <t xml:space="preserve">-</t>
    </r>
    <r>
      <rPr>
        <sz val="10"/>
        <rFont val="Arial Unicode MS"/>
        <family val="2"/>
        <charset val="1"/>
      </rPr>
      <t xml:space="preserve">操作序列</t>
    </r>
  </si>
  <si>
    <t xml:space="preserve">点击新增所需的行类大小分类</t>
  </si>
  <si>
    <r>
      <rPr>
        <sz val="10"/>
        <rFont val="Arial Unicode MS"/>
        <family val="2"/>
        <charset val="1"/>
      </rPr>
      <t xml:space="preserve">「行类」应为「行业」，「大小分类」表述含混（应指行业大类</t>
    </r>
    <r>
      <rPr>
        <sz val="10"/>
        <rFont val="Arial"/>
        <family val="0"/>
        <charset val="1"/>
      </rPr>
      <t xml:space="preserve">/</t>
    </r>
    <r>
      <rPr>
        <sz val="10"/>
        <rFont val="Arial Unicode MS"/>
        <family val="2"/>
        <charset val="1"/>
      </rPr>
      <t xml:space="preserve">小类两级），操作步骤描述不通顺，测试人员无法据此确认是否需支持两级分类结构。</t>
    </r>
  </si>
  <si>
    <r>
      <rPr>
        <sz val="10"/>
        <rFont val="Arial Unicode MS"/>
        <family val="2"/>
        <charset val="1"/>
      </rPr>
      <t xml:space="preserve">改为「点击新增所需的行业大类、小类」，并在功能描述中明确行业分类是否为大类</t>
    </r>
    <r>
      <rPr>
        <sz val="10"/>
        <rFont val="Arial"/>
        <family val="0"/>
        <charset val="1"/>
      </rPr>
      <t xml:space="preserve">/</t>
    </r>
    <r>
      <rPr>
        <sz val="10"/>
        <rFont val="Arial Unicode MS"/>
        <family val="2"/>
        <charset val="1"/>
      </rPr>
      <t xml:space="preserve">小类两级结构。</t>
    </r>
  </si>
  <si>
    <t xml:space="preserve">Q-037</t>
  </si>
  <si>
    <r>
      <rPr>
        <sz val="10"/>
        <rFont val="Arial"/>
        <family val="0"/>
        <charset val="1"/>
      </rPr>
      <t xml:space="preserve">4.2.1 </t>
    </r>
    <r>
      <rPr>
        <sz val="10"/>
        <rFont val="Arial Unicode MS"/>
        <family val="2"/>
        <charset val="1"/>
      </rPr>
      <t xml:space="preserve">抄表员管理</t>
    </r>
    <r>
      <rPr>
        <sz val="10"/>
        <rFont val="Arial"/>
        <family val="0"/>
        <charset val="1"/>
      </rPr>
      <t xml:space="preserve">-</t>
    </r>
    <r>
      <rPr>
        <sz val="10"/>
        <rFont val="Arial Unicode MS"/>
        <family val="2"/>
        <charset val="1"/>
      </rPr>
      <t xml:space="preserve">输出</t>
    </r>
  </si>
  <si>
    <t xml:space="preserve">展现当面系统的抄表员工列表信息</t>
  </si>
  <si>
    <t xml:space="preserve">「当面」应为「当前」；「抄表员工」与本节及全文使用的「抄表员」称谓不一致，输出定义是测试断言依据，措辞应准确统一。</t>
  </si>
  <si>
    <t xml:space="preserve">改为「展现当前系统的抄表员列表信息」。</t>
  </si>
  <si>
    <t xml:space="preserve">Q-038</t>
  </si>
  <si>
    <r>
      <rPr>
        <sz val="10"/>
        <rFont val="Arial"/>
        <family val="0"/>
        <charset val="1"/>
      </rPr>
      <t xml:space="preserve">4.3.3 Atm</t>
    </r>
    <r>
      <rPr>
        <sz val="10"/>
        <rFont val="Arial Unicode MS"/>
        <family val="2"/>
        <charset val="1"/>
      </rPr>
      <t xml:space="preserve">收费机</t>
    </r>
  </si>
  <si>
    <r>
      <rPr>
        <sz val="10"/>
        <rFont val="Arial"/>
        <family val="0"/>
        <charset val="1"/>
      </rPr>
      <t xml:space="preserve">ATM</t>
    </r>
    <r>
      <rPr>
        <sz val="10"/>
        <rFont val="Arial Unicode MS"/>
        <family val="2"/>
        <charset val="1"/>
      </rPr>
      <t xml:space="preserve">为固定缩略语应全大写，「</t>
    </r>
    <r>
      <rPr>
        <sz val="10"/>
        <rFont val="Arial"/>
        <family val="0"/>
        <charset val="1"/>
      </rPr>
      <t xml:space="preserve">Atm</t>
    </r>
    <r>
      <rPr>
        <sz val="10"/>
        <rFont val="Arial Unicode MS"/>
        <family val="2"/>
        <charset val="1"/>
      </rPr>
      <t xml:space="preserve">」大小写不规范，且该写法在目录</t>
    </r>
    <r>
      <rPr>
        <sz val="10"/>
        <rFont val="Arial"/>
        <family val="0"/>
        <charset val="1"/>
      </rPr>
      <t xml:space="preserve">4.3.3</t>
    </r>
    <r>
      <rPr>
        <sz val="10"/>
        <rFont val="Arial Unicode MS"/>
        <family val="2"/>
        <charset val="1"/>
      </rPr>
      <t xml:space="preserve">、</t>
    </r>
    <r>
      <rPr>
        <sz val="10"/>
        <rFont val="Arial"/>
        <family val="0"/>
        <charset val="1"/>
      </rPr>
      <t xml:space="preserve">3.3</t>
    </r>
    <r>
      <rPr>
        <sz val="10"/>
        <rFont val="Arial Unicode MS"/>
        <family val="2"/>
        <charset val="1"/>
      </rPr>
      <t xml:space="preserve">功能清单、</t>
    </r>
    <r>
      <rPr>
        <sz val="10"/>
        <rFont val="Arial"/>
        <family val="0"/>
        <charset val="1"/>
      </rPr>
      <t xml:space="preserve">4.3.3</t>
    </r>
    <r>
      <rPr>
        <sz val="10"/>
        <rFont val="Arial Unicode MS"/>
        <family val="2"/>
        <charset val="1"/>
      </rPr>
      <t xml:space="preserve">正文标题及表格中多处出现，属全局性术语不规范。</t>
    </r>
  </si>
  <si>
    <r>
      <rPr>
        <sz val="10"/>
        <rFont val="Arial Unicode MS"/>
        <family val="2"/>
        <charset val="1"/>
      </rPr>
      <t xml:space="preserve">全文统一改为「</t>
    </r>
    <r>
      <rPr>
        <sz val="10"/>
        <rFont val="Arial"/>
        <family val="0"/>
        <charset val="1"/>
      </rPr>
      <t xml:space="preserve">ATM</t>
    </r>
    <r>
      <rPr>
        <sz val="10"/>
        <rFont val="Arial Unicode MS"/>
        <family val="2"/>
        <charset val="1"/>
      </rPr>
      <t xml:space="preserve">收费机」（或统一改用「自助缴费机」并与正文「线下自助缴费机」一致）。</t>
    </r>
  </si>
  <si>
    <t xml:space="preserve">Q-039</t>
  </si>
  <si>
    <r>
      <rPr>
        <sz val="10"/>
        <rFont val="Arial"/>
        <family val="0"/>
        <charset val="1"/>
      </rPr>
      <t xml:space="preserve">4.3.4 </t>
    </r>
    <r>
      <rPr>
        <sz val="10"/>
        <rFont val="Arial Unicode MS"/>
        <family val="2"/>
        <charset val="1"/>
      </rPr>
      <t xml:space="preserve">公众缴费平台（对照</t>
    </r>
    <r>
      <rPr>
        <sz val="10"/>
        <rFont val="Arial"/>
        <family val="0"/>
        <charset val="1"/>
      </rPr>
      <t xml:space="preserve">3.3</t>
    </r>
    <r>
      <rPr>
        <sz val="10"/>
        <rFont val="Arial Unicode MS"/>
        <family val="2"/>
        <charset val="1"/>
      </rPr>
      <t xml:space="preserve">清单及目录）</t>
    </r>
  </si>
  <si>
    <r>
      <rPr>
        <sz val="10"/>
        <rFont val="Arial"/>
        <family val="0"/>
        <charset val="1"/>
      </rPr>
      <t xml:space="preserve">2</t>
    </r>
    <r>
      <rPr>
        <sz val="10"/>
        <rFont val="Arial Unicode MS"/>
        <family val="2"/>
        <charset val="1"/>
      </rPr>
      <t xml:space="preserve">、打开</t>
    </r>
    <r>
      <rPr>
        <sz val="10"/>
        <rFont val="Arial"/>
        <family val="0"/>
        <charset val="1"/>
      </rPr>
      <t xml:space="preserve">pps</t>
    </r>
    <r>
      <rPr>
        <sz val="10"/>
        <rFont val="Arial Unicode MS"/>
        <family val="2"/>
        <charset val="1"/>
      </rPr>
      <t xml:space="preserve">公众缴费平台配置，修改对应的缴费配置。</t>
    </r>
  </si>
  <si>
    <r>
      <rPr>
        <sz val="10"/>
        <rFont val="Arial Unicode MS"/>
        <family val="2"/>
        <charset val="1"/>
      </rPr>
      <t xml:space="preserve">同一功能出现三个名称：</t>
    </r>
    <r>
      <rPr>
        <sz val="10"/>
        <rFont val="Arial"/>
        <family val="0"/>
        <charset val="1"/>
      </rPr>
      <t xml:space="preserve">3.3</t>
    </r>
    <r>
      <rPr>
        <sz val="10"/>
        <rFont val="Arial Unicode MS"/>
        <family val="2"/>
        <charset val="1"/>
      </rPr>
      <t xml:space="preserve">清单叫「公众缴费平台配置」，目录和</t>
    </r>
    <r>
      <rPr>
        <sz val="10"/>
        <rFont val="Arial"/>
        <family val="0"/>
        <charset val="1"/>
      </rPr>
      <t xml:space="preserve">4.3.4</t>
    </r>
    <r>
      <rPr>
        <sz val="10"/>
        <rFont val="Arial Unicode MS"/>
        <family val="2"/>
        <charset val="1"/>
      </rPr>
      <t xml:space="preserve">标题叫「公众缴费平台」，操作序列又写「</t>
    </r>
    <r>
      <rPr>
        <sz val="10"/>
        <rFont val="Arial"/>
        <family val="0"/>
        <charset val="1"/>
      </rPr>
      <t xml:space="preserve">pps</t>
    </r>
    <r>
      <rPr>
        <sz val="10"/>
        <rFont val="Arial Unicode MS"/>
        <family val="2"/>
        <charset val="1"/>
      </rPr>
      <t xml:space="preserve">公众缴费平台配置」，其中缩写「</t>
    </r>
    <r>
      <rPr>
        <sz val="10"/>
        <rFont val="Arial"/>
        <family val="0"/>
        <charset val="1"/>
      </rPr>
      <t xml:space="preserve">pps</t>
    </r>
    <r>
      <rPr>
        <sz val="10"/>
        <rFont val="Arial Unicode MS"/>
        <family val="2"/>
        <charset val="1"/>
      </rPr>
      <t xml:space="preserve">」全文无定义。功能命名不一致会导致需求跟踪矩阵、菜单命名、测试用例引用三方对不齐。</t>
    </r>
  </si>
  <si>
    <r>
      <rPr>
        <sz val="10"/>
        <rFont val="Arial Unicode MS"/>
        <family val="2"/>
        <charset val="1"/>
      </rPr>
      <t xml:space="preserve">三处统一命名为「公众缴费平台配置」（目录、</t>
    </r>
    <r>
      <rPr>
        <sz val="10"/>
        <rFont val="Arial"/>
        <family val="0"/>
        <charset val="1"/>
      </rPr>
      <t xml:space="preserve">3.3</t>
    </r>
    <r>
      <rPr>
        <sz val="10"/>
        <rFont val="Arial Unicode MS"/>
        <family val="2"/>
        <charset val="1"/>
      </rPr>
      <t xml:space="preserve">清单、</t>
    </r>
    <r>
      <rPr>
        <sz val="10"/>
        <rFont val="Arial"/>
        <family val="0"/>
        <charset val="1"/>
      </rPr>
      <t xml:space="preserve">4.3.4</t>
    </r>
    <r>
      <rPr>
        <sz val="10"/>
        <rFont val="Arial Unicode MS"/>
        <family val="2"/>
        <charset val="1"/>
      </rPr>
      <t xml:space="preserve">标题、操作序列）；「</t>
    </r>
    <r>
      <rPr>
        <sz val="10"/>
        <rFont val="Arial"/>
        <family val="0"/>
        <charset val="1"/>
      </rPr>
      <t xml:space="preserve">pps</t>
    </r>
    <r>
      <rPr>
        <sz val="10"/>
        <rFont val="Arial Unicode MS"/>
        <family val="2"/>
        <charset val="1"/>
      </rPr>
      <t xml:space="preserve">」或删除、或在术语表中给出定义（如</t>
    </r>
    <r>
      <rPr>
        <sz val="10"/>
        <rFont val="Arial"/>
        <family val="0"/>
        <charset val="1"/>
      </rPr>
      <t xml:space="preserve">PPS</t>
    </r>
    <r>
      <rPr>
        <sz val="10"/>
        <rFont val="Arial Unicode MS"/>
        <family val="2"/>
        <charset val="1"/>
      </rPr>
      <t xml:space="preserve">：</t>
    </r>
    <r>
      <rPr>
        <sz val="10"/>
        <rFont val="Arial"/>
        <family val="0"/>
        <charset val="1"/>
      </rPr>
      <t xml:space="preserve">Public Payment Service</t>
    </r>
    <r>
      <rPr>
        <sz val="10"/>
        <rFont val="Arial Unicode MS"/>
        <family val="2"/>
        <charset val="1"/>
      </rPr>
      <t xml:space="preserve">，公众缴费平台）。</t>
    </r>
  </si>
  <si>
    <t xml:space="preserve">Q-040</t>
  </si>
  <si>
    <r>
      <rPr>
        <sz val="10"/>
        <rFont val="Arial"/>
        <family val="0"/>
        <charset val="1"/>
      </rPr>
      <t xml:space="preserve">4.7.3 </t>
    </r>
    <r>
      <rPr>
        <sz val="10"/>
        <rFont val="Arial Unicode MS"/>
        <family val="2"/>
        <charset val="1"/>
      </rPr>
      <t xml:space="preserve">抄表数据导入</t>
    </r>
    <r>
      <rPr>
        <sz val="10"/>
        <rFont val="Arial"/>
        <family val="0"/>
        <charset val="1"/>
      </rPr>
      <t xml:space="preserve">-</t>
    </r>
    <r>
      <rPr>
        <sz val="10"/>
        <rFont val="Arial Unicode MS"/>
        <family val="2"/>
        <charset val="1"/>
      </rPr>
      <t xml:space="preserve">操作序列</t>
    </r>
  </si>
  <si>
    <r>
      <rPr>
        <sz val="10"/>
        <rFont val="Arial"/>
        <family val="0"/>
        <charset val="1"/>
      </rPr>
      <t xml:space="preserve">2</t>
    </r>
    <r>
      <rPr>
        <sz val="10"/>
        <rFont val="Arial Unicode MS"/>
        <family val="2"/>
        <charset val="1"/>
      </rPr>
      <t xml:space="preserve">、打开远传数据导入进行表格数据导入</t>
    </r>
  </si>
  <si>
    <r>
      <rPr>
        <sz val="10"/>
        <rFont val="Arial Unicode MS"/>
        <family val="2"/>
        <charset val="1"/>
      </rPr>
      <t xml:space="preserve">一个功能三个口径：功能名叫「抄表数据导入」，功能描述写「抄表机器抄表数据导入系统」，操作序列打开的菜单却叫「远传数据导入」、执行的动作又是「表格数据导入」——而表格导入属于</t>
    </r>
    <r>
      <rPr>
        <sz val="10"/>
        <rFont val="Arial"/>
        <family val="0"/>
        <charset val="1"/>
      </rPr>
      <t xml:space="preserve">4.7.2</t>
    </r>
    <r>
      <rPr>
        <sz val="10"/>
        <rFont val="Arial Unicode MS"/>
        <family val="2"/>
        <charset val="1"/>
      </rPr>
      <t xml:space="preserve">「表格录入」的职责。数据来源（抄表机</t>
    </r>
    <r>
      <rPr>
        <sz val="10"/>
        <rFont val="Arial"/>
        <family val="0"/>
        <charset val="1"/>
      </rPr>
      <t xml:space="preserve">/</t>
    </r>
    <r>
      <rPr>
        <sz val="10"/>
        <rFont val="Arial Unicode MS"/>
        <family val="2"/>
        <charset val="1"/>
      </rPr>
      <t xml:space="preserve">远传表</t>
    </r>
    <r>
      <rPr>
        <sz val="10"/>
        <rFont val="Arial"/>
        <family val="0"/>
        <charset val="1"/>
      </rPr>
      <t xml:space="preserve">/Excel</t>
    </r>
    <r>
      <rPr>
        <sz val="10"/>
        <rFont val="Arial Unicode MS"/>
        <family val="2"/>
        <charset val="1"/>
      </rPr>
      <t xml:space="preserve">表格）到底是哪种、与</t>
    </r>
    <r>
      <rPr>
        <sz val="10"/>
        <rFont val="Arial"/>
        <family val="0"/>
        <charset val="1"/>
      </rPr>
      <t xml:space="preserve">4.7.2</t>
    </r>
    <r>
      <rPr>
        <sz val="10"/>
        <rFont val="Arial Unicode MS"/>
        <family val="2"/>
        <charset val="1"/>
      </rPr>
      <t xml:space="preserve">边界如何划分，无法确定。</t>
    </r>
  </si>
  <si>
    <r>
      <rPr>
        <sz val="10"/>
        <rFont val="Arial Unicode MS"/>
        <family val="2"/>
        <charset val="1"/>
      </rPr>
      <t xml:space="preserve">改为「</t>
    </r>
    <r>
      <rPr>
        <sz val="10"/>
        <rFont val="Arial"/>
        <family val="0"/>
        <charset val="1"/>
      </rPr>
      <t xml:space="preserve">2</t>
    </r>
    <r>
      <rPr>
        <sz val="10"/>
        <rFont val="Arial Unicode MS"/>
        <family val="2"/>
        <charset val="1"/>
      </rPr>
      <t xml:space="preserve">、打开抄表数据导入，导入抄表机采集的抄表数据」；如系统同时支持抄表机与远传表两种来源，在功能描述中明确列出并与</t>
    </r>
    <r>
      <rPr>
        <sz val="10"/>
        <rFont val="Arial"/>
        <family val="0"/>
        <charset val="1"/>
      </rPr>
      <t xml:space="preserve">4.7.2</t>
    </r>
    <r>
      <rPr>
        <sz val="10"/>
        <rFont val="Arial Unicode MS"/>
        <family val="2"/>
        <charset val="1"/>
      </rPr>
      <t xml:space="preserve">「表格录入（</t>
    </r>
    <r>
      <rPr>
        <sz val="10"/>
        <rFont val="Arial"/>
        <family val="0"/>
        <charset val="1"/>
      </rPr>
      <t xml:space="preserve">Excel</t>
    </r>
    <r>
      <rPr>
        <sz val="10"/>
        <rFont val="Arial Unicode MS"/>
        <family val="2"/>
        <charset val="1"/>
      </rPr>
      <t xml:space="preserve">导入）」划清边界。</t>
    </r>
  </si>
  <si>
    <t xml:space="preserve">Q-041</t>
  </si>
  <si>
    <r>
      <rPr>
        <sz val="10"/>
        <rFont val="Arial"/>
        <family val="0"/>
        <charset val="1"/>
      </rPr>
      <t xml:space="preserve">5.2.2 </t>
    </r>
    <r>
      <rPr>
        <sz val="10"/>
        <rFont val="Arial Unicode MS"/>
        <family val="2"/>
        <charset val="1"/>
      </rPr>
      <t xml:space="preserve">缴费单销账</t>
    </r>
    <r>
      <rPr>
        <sz val="10"/>
        <rFont val="Arial"/>
        <family val="0"/>
        <charset val="1"/>
      </rPr>
      <t xml:space="preserve">-</t>
    </r>
    <r>
      <rPr>
        <sz val="10"/>
        <rFont val="Arial Unicode MS"/>
        <family val="2"/>
        <charset val="1"/>
      </rPr>
      <t xml:space="preserve">入参</t>
    </r>
    <r>
      <rPr>
        <sz val="10"/>
        <rFont val="Arial"/>
        <family val="0"/>
        <charset val="1"/>
      </rPr>
      <t xml:space="preserve">pyqbillid</t>
    </r>
  </si>
  <si>
    <t xml:space="preserve">可以解决跨天滞纳金变化销账不成功、用户增加新欠费时销账不成功都棘手问题</t>
  </si>
  <si>
    <t xml:space="preserve">「都棘手问题」应为「等棘手问题」，接口字段描述是银行方开发的直接输入，病句影响外部单位阅读理解。</t>
  </si>
  <si>
    <t xml:space="preserve">改为「……用户增加新欠费时销账不成功等棘手问题」。</t>
  </si>
</sst>
</file>

<file path=xl/styles.xml><?xml version="1.0" encoding="utf-8"?>
<styleSheet xmlns="http://schemas.openxmlformats.org/spreadsheetml/2006/main">
  <numFmts count="7">
    <numFmt numFmtId="164" formatCode="General"/>
    <numFmt numFmtId="165" formatCode="0.0%"/>
    <numFmt numFmtId="166" formatCode="0.00"/>
    <numFmt numFmtId="167" formatCode="0.0"/>
    <numFmt numFmtId="168" formatCode="0"/>
    <numFmt numFmtId="169" formatCode="#,##0.00"/>
    <numFmt numFmtId="170" formatCode="0.000"/>
  </numFmts>
  <fonts count="21">
    <font>
      <sz val="11"/>
      <color theme="1"/>
      <name val="Arial Unicode MS"/>
      <family val="2"/>
      <charset val="1"/>
    </font>
    <font>
      <sz val="10"/>
      <name val="Arial"/>
      <family val="0"/>
    </font>
    <font>
      <sz val="10"/>
      <name val="Arial"/>
      <family val="0"/>
    </font>
    <font>
      <sz val="10"/>
      <name val="Arial"/>
      <family val="0"/>
    </font>
    <font>
      <b val="true"/>
      <sz val="12"/>
      <color rgb="FF1F4E79"/>
      <name val="Arial Unicode MS"/>
      <family val="2"/>
      <charset val="1"/>
    </font>
    <font>
      <b val="true"/>
      <sz val="10"/>
      <color rgb="FF1F4E79"/>
      <name val="Arial Unicode MS"/>
      <family val="2"/>
      <charset val="1"/>
    </font>
    <font>
      <sz val="10"/>
      <name val="Arial Unicode MS"/>
      <family val="2"/>
      <charset val="1"/>
    </font>
    <font>
      <sz val="10"/>
      <name val="Arial"/>
      <family val="0"/>
      <charset val="1"/>
    </font>
    <font>
      <b val="true"/>
      <sz val="12"/>
      <color rgb="FF1F4E79"/>
      <name val="Arial"/>
      <family val="0"/>
      <charset val="1"/>
    </font>
    <font>
      <i val="true"/>
      <sz val="9"/>
      <color rgb="FF808080"/>
      <name val="Arial Unicode MS"/>
      <family val="2"/>
      <charset val="1"/>
    </font>
    <font>
      <i val="true"/>
      <sz val="9"/>
      <color rgb="FF808080"/>
      <name val="Arial"/>
      <family val="0"/>
      <charset val="1"/>
    </font>
    <font>
      <b val="true"/>
      <sz val="10"/>
      <color rgb="FFFFFFFF"/>
      <name val="Arial Unicode MS"/>
      <family val="2"/>
      <charset val="1"/>
    </font>
    <font>
      <b val="true"/>
      <sz val="10"/>
      <color rgb="FFFFFFFF"/>
      <name val="Arial"/>
      <family val="0"/>
      <charset val="1"/>
    </font>
    <font>
      <sz val="10"/>
      <color rgb="FF0000FF"/>
      <name val="Arial"/>
      <family val="0"/>
      <charset val="1"/>
    </font>
    <font>
      <b val="true"/>
      <sz val="10"/>
      <color rgb="FF1F4E79"/>
      <name val="Arial"/>
      <family val="0"/>
      <charset val="1"/>
    </font>
    <font>
      <sz val="10"/>
      <color rgb="FF000000"/>
      <name val="Arial"/>
      <family val="0"/>
      <charset val="1"/>
    </font>
    <font>
      <b val="true"/>
      <sz val="10"/>
      <name val="Arial Unicode MS"/>
      <family val="2"/>
      <charset val="1"/>
    </font>
    <font>
      <b val="true"/>
      <sz val="10"/>
      <color rgb="FF000000"/>
      <name val="Arial"/>
      <family val="0"/>
      <charset val="1"/>
    </font>
    <font>
      <sz val="10"/>
      <color rgb="FF008000"/>
      <name val="Arial"/>
      <family val="0"/>
      <charset val="1"/>
    </font>
    <font>
      <b val="true"/>
      <sz val="10"/>
      <color rgb="FF000000"/>
      <name val="Arial Unicode MS"/>
      <family val="2"/>
      <charset val="1"/>
    </font>
    <font>
      <b val="true"/>
      <sz val="10"/>
      <name val="Arial"/>
      <family val="0"/>
      <charset val="1"/>
    </font>
  </fonts>
  <fills count="4">
    <fill>
      <patternFill patternType="none"/>
    </fill>
    <fill>
      <patternFill patternType="gray125"/>
    </fill>
    <fill>
      <patternFill patternType="solid">
        <fgColor rgb="FF1F4E79"/>
        <bgColor rgb="FF003366"/>
      </patternFill>
    </fill>
    <fill>
      <patternFill patternType="solid">
        <fgColor rgb="FFDDEBF7"/>
        <bgColor rgb="FFFDEAEA"/>
      </patternFill>
    </fill>
  </fills>
  <borders count="2">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1" fillId="2" borderId="1" xfId="0" applyFont="true" applyBorder="true" applyAlignment="true" applyProtection="true">
      <alignment horizontal="center" vertical="center" textRotation="0" wrapText="tru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65" fontId="13" fillId="0" borderId="1" xfId="0" applyFont="true" applyBorder="true" applyAlignment="true" applyProtection="true">
      <alignment horizontal="center" vertical="center" textRotation="0" wrapText="tru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center" vertical="center" textRotation="0" wrapText="true" indent="0" shrinkToFit="false"/>
      <protection locked="true" hidden="false"/>
    </xf>
    <xf numFmtId="164" fontId="6" fillId="0" borderId="1" xfId="0" applyFont="true" applyBorder="true" applyAlignment="true" applyProtection="true">
      <alignment horizontal="general" vertical="top" textRotation="0" wrapText="true" indent="0" shrinkToFit="false"/>
      <protection locked="true" hidden="false"/>
    </xf>
    <xf numFmtId="166" fontId="13" fillId="0" borderId="1" xfId="0" applyFont="true" applyBorder="true" applyAlignment="true" applyProtection="true">
      <alignment horizontal="center" vertical="center" textRotation="0" wrapText="true" indent="0" shrinkToFit="false"/>
      <protection locked="true" hidden="false"/>
    </xf>
    <xf numFmtId="164" fontId="7" fillId="0" borderId="1" xfId="0" applyFont="true" applyBorder="true" applyAlignment="true" applyProtection="true">
      <alignment horizontal="general" vertical="top" textRotation="0" wrapText="true" indent="0" shrinkToFit="false"/>
      <protection locked="true" hidden="false"/>
    </xf>
    <xf numFmtId="167" fontId="13" fillId="0" borderId="1" xfId="0" applyFont="true" applyBorder="true" applyAlignment="true" applyProtection="true">
      <alignment horizontal="center" vertical="center" textRotation="0" wrapText="true" indent="0" shrinkToFit="false"/>
      <protection locked="true" hidden="false"/>
    </xf>
    <xf numFmtId="168" fontId="13" fillId="0" borderId="1" xfId="0" applyFont="true" applyBorder="true" applyAlignment="true" applyProtection="true">
      <alignment horizontal="center" vertical="center" textRotation="0" wrapText="tru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xf numFmtId="168" fontId="7" fillId="0" borderId="1" xfId="0" applyFont="true" applyBorder="true" applyAlignment="true" applyProtection="true">
      <alignment horizontal="center" vertical="center" textRotation="0" wrapText="true" indent="0" shrinkToFit="false"/>
      <protection locked="true" hidden="false"/>
    </xf>
    <xf numFmtId="165" fontId="15" fillId="0" borderId="1" xfId="0" applyFont="true" applyBorder="true" applyAlignment="true" applyProtection="true">
      <alignment horizontal="center" vertical="center" textRotation="0" wrapText="true" indent="0" shrinkToFit="false"/>
      <protection locked="true" hidden="false"/>
    </xf>
    <xf numFmtId="164" fontId="9" fillId="0" borderId="1" xfId="0" applyFont="true" applyBorder="true" applyAlignment="true" applyProtection="true">
      <alignment horizontal="general" vertical="top" textRotation="0" wrapText="true" indent="0" shrinkToFit="false"/>
      <protection locked="true" hidden="false"/>
    </xf>
    <xf numFmtId="166" fontId="13" fillId="0" borderId="1" xfId="0" applyFont="true" applyBorder="true" applyAlignment="true" applyProtection="true">
      <alignment horizontal="general" vertical="bottom" textRotation="0" wrapText="false" indent="0" shrinkToFit="false"/>
      <protection locked="true" hidden="false"/>
    </xf>
    <xf numFmtId="164" fontId="16" fillId="3" borderId="1" xfId="0" applyFont="true" applyBorder="true" applyAlignment="true" applyProtection="true">
      <alignment horizontal="center" vertical="center" textRotation="0" wrapText="true" indent="0" shrinkToFit="false"/>
      <protection locked="true" hidden="false"/>
    </xf>
    <xf numFmtId="166" fontId="17" fillId="3" borderId="1" xfId="0" applyFont="true" applyBorder="true" applyAlignment="true" applyProtection="true">
      <alignment horizontal="general" vertical="bottom" textRotation="0" wrapText="false" indent="0" shrinkToFit="false"/>
      <protection locked="true" hidden="false"/>
    </xf>
    <xf numFmtId="165" fontId="17" fillId="3" borderId="1" xfId="0" applyFont="true" applyBorder="true" applyAlignment="true" applyProtection="true">
      <alignment horizontal="center" vertical="center" textRotation="0" wrapText="true" indent="0" shrinkToFit="false"/>
      <protection locked="true" hidden="false"/>
    </xf>
    <xf numFmtId="164" fontId="13" fillId="0" borderId="1" xfId="0" applyFont="true" applyBorder="true" applyAlignment="true" applyProtection="true">
      <alignment horizontal="center" vertical="center" textRotation="0" wrapText="true" indent="0" shrinkToFit="false"/>
      <protection locked="true" hidden="false"/>
    </xf>
    <xf numFmtId="168" fontId="15" fillId="0" borderId="1" xfId="0" applyFont="true" applyBorder="true" applyAlignment="true" applyProtection="true">
      <alignment horizontal="center" vertical="center" textRotation="0" wrapText="true" indent="0" shrinkToFit="false"/>
      <protection locked="true" hidden="false"/>
    </xf>
    <xf numFmtId="168" fontId="17" fillId="3" borderId="1" xfId="0" applyFont="true" applyBorder="true" applyAlignment="true" applyProtection="true">
      <alignment horizontal="center" vertical="center" textRotation="0" wrapText="true" indent="0" shrinkToFit="false"/>
      <protection locked="true" hidden="false"/>
    </xf>
    <xf numFmtId="169" fontId="13" fillId="0" borderId="1" xfId="0" applyFont="true" applyBorder="true" applyAlignment="true" applyProtection="true">
      <alignment horizontal="general" vertical="bottom" textRotation="0" wrapText="false" indent="0" shrinkToFit="false"/>
      <protection locked="true" hidden="false"/>
    </xf>
    <xf numFmtId="169" fontId="17" fillId="3" borderId="1" xfId="0" applyFont="true" applyBorder="true" applyAlignment="true" applyProtection="true">
      <alignment horizontal="general" vertical="bottom" textRotation="0" wrapText="false" indent="0" shrinkToFit="false"/>
      <protection locked="true" hidden="false"/>
    </xf>
    <xf numFmtId="166" fontId="15" fillId="0" borderId="1" xfId="0" applyFont="true" applyBorder="true" applyAlignment="true" applyProtection="true">
      <alignment horizontal="center" vertical="center" textRotation="0" wrapText="true" indent="0" shrinkToFit="false"/>
      <protection locked="true" hidden="false"/>
    </xf>
    <xf numFmtId="170" fontId="15" fillId="0" borderId="1" xfId="0" applyFont="true" applyBorder="true" applyAlignment="true" applyProtection="true">
      <alignment horizontal="center" vertical="center" textRotation="0" wrapText="true" indent="0" shrinkToFit="false"/>
      <protection locked="true" hidden="false"/>
    </xf>
    <xf numFmtId="169" fontId="15" fillId="0" borderId="1" xfId="0" applyFont="true" applyBorder="true" applyAlignment="true" applyProtection="true">
      <alignment horizontal="center" vertical="center" textRotation="0" wrapText="true" indent="0" shrinkToFit="false"/>
      <protection locked="true" hidden="false"/>
    </xf>
    <xf numFmtId="164" fontId="18" fillId="0" borderId="1" xfId="0" applyFont="true" applyBorder="true" applyAlignment="true" applyProtection="true">
      <alignment horizontal="center" vertical="center" textRotation="0" wrapText="true" indent="0" shrinkToFit="false"/>
      <protection locked="true" hidden="false"/>
    </xf>
    <xf numFmtId="167" fontId="15" fillId="0" borderId="1" xfId="0" applyFont="true" applyBorder="true" applyAlignment="true" applyProtection="true">
      <alignment horizontal="center" vertical="center" textRotation="0" wrapText="true" indent="0" shrinkToFit="false"/>
      <protection locked="true" hidden="false"/>
    </xf>
    <xf numFmtId="167" fontId="17" fillId="3" borderId="1" xfId="0" applyFont="true" applyBorder="true" applyAlignment="true" applyProtection="true">
      <alignment horizontal="center" vertical="center" textRotation="0" wrapText="true" indent="0" shrinkToFit="false"/>
      <protection locked="true" hidden="false"/>
    </xf>
    <xf numFmtId="170" fontId="17" fillId="3" borderId="1" xfId="0" applyFont="true" applyBorder="true" applyAlignment="true" applyProtection="true">
      <alignment horizontal="center" vertical="center" textRotation="0" wrapText="true" indent="0" shrinkToFit="false"/>
      <protection locked="true" hidden="false"/>
    </xf>
    <xf numFmtId="164" fontId="6" fillId="3" borderId="1" xfId="0" applyFont="true" applyBorder="true" applyAlignment="true" applyProtection="true">
      <alignment horizontal="general" vertical="bottom" textRotation="0" wrapText="false" indent="0" shrinkToFit="false"/>
      <protection locked="true" hidden="false"/>
    </xf>
    <xf numFmtId="168" fontId="18" fillId="0" borderId="1" xfId="0" applyFont="true" applyBorder="true" applyAlignment="true" applyProtection="true">
      <alignment horizontal="center" vertical="center" textRotation="0" wrapText="true" indent="0" shrinkToFit="false"/>
      <protection locked="true" hidden="false"/>
    </xf>
    <xf numFmtId="164" fontId="6" fillId="0" borderId="1" xfId="0" applyFont="true" applyBorder="true" applyAlignment="true" applyProtection="true">
      <alignment horizontal="center" vertical="center" textRotation="0" wrapText="true" indent="0" shrinkToFit="false"/>
      <protection locked="true" hidden="false"/>
    </xf>
    <xf numFmtId="166" fontId="18" fillId="0" borderId="1" xfId="0" applyFont="true" applyBorder="true" applyAlignment="true" applyProtection="true">
      <alignment horizontal="center" vertical="center" textRotation="0" wrapText="true" indent="0" shrinkToFit="false"/>
      <protection locked="true" hidden="false"/>
    </xf>
    <xf numFmtId="169" fontId="18" fillId="0" borderId="1" xfId="0" applyFont="true" applyBorder="true" applyAlignment="true" applyProtection="true">
      <alignment horizontal="center" vertical="center" textRotation="0" wrapText="true" indent="0" shrinkToFit="false"/>
      <protection locked="true" hidden="false"/>
    </xf>
    <xf numFmtId="170" fontId="18" fillId="0" borderId="1" xfId="0" applyFont="true" applyBorder="true" applyAlignment="true" applyProtection="true">
      <alignment horizontal="center" vertical="center" textRotation="0" wrapText="true" indent="0" shrinkToFit="false"/>
      <protection locked="true" hidden="false"/>
    </xf>
    <xf numFmtId="165" fontId="18" fillId="0" borderId="1" xfId="0" applyFont="true" applyBorder="true" applyAlignment="true" applyProtection="true">
      <alignment horizontal="center" vertical="center" textRotation="0" wrapText="true" indent="0" shrinkToFit="false"/>
      <protection locked="true" hidden="false"/>
    </xf>
    <xf numFmtId="164" fontId="9" fillId="0" borderId="1" xfId="0" applyFont="true" applyBorder="true" applyAlignment="true" applyProtection="true">
      <alignment horizontal="center" vertical="center" textRotation="0" wrapText="true" indent="0" shrinkToFit="false"/>
      <protection locked="true" hidden="false"/>
    </xf>
    <xf numFmtId="164" fontId="19" fillId="0" borderId="1" xfId="0" applyFont="true" applyBorder="true" applyAlignment="true" applyProtection="true">
      <alignment horizontal="center" vertical="center" textRotation="0" wrapText="true" indent="0" shrinkToFit="false"/>
      <protection locked="true" hidden="false"/>
    </xf>
    <xf numFmtId="164" fontId="6" fillId="0" borderId="0" xfId="0" applyFont="true" applyBorder="true" applyAlignment="true" applyProtection="true">
      <alignment horizontal="center" vertical="center" textRotation="0" wrapText="true" indent="0" shrinkToFit="false"/>
      <protection locked="true" hidden="false"/>
    </xf>
    <xf numFmtId="168" fontId="17" fillId="0" borderId="0" xfId="0" applyFont="true" applyBorder="fals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8" fontId="17"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tru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center" vertical="center" textRotation="0" wrapText="true" indent="0" shrinkToFit="false"/>
      <protection locked="true" hidden="false"/>
    </xf>
    <xf numFmtId="164" fontId="7" fillId="0" borderId="0" xfId="0" applyFont="true" applyBorder="true" applyAlignment="true" applyProtection="true">
      <alignment horizontal="general" vertical="top" textRotation="0" wrapText="tru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12" fillId="2" borderId="1" xfId="0" applyFont="true" applyBorder="true" applyAlignment="true" applyProtection="true">
      <alignment horizontal="center" vertical="center" textRotation="0" wrapText="true" indent="0" shrinkToFit="false"/>
      <protection locked="true" hidden="false"/>
    </xf>
    <xf numFmtId="164" fontId="16" fillId="0" borderId="0" xfId="0" applyFont="true" applyBorder="false" applyAlignment="true" applyProtection="true">
      <alignment horizontal="center" vertical="center" textRotation="0" wrapText="true" indent="0" shrinkToFit="false"/>
      <protection locked="true" hidden="false"/>
    </xf>
    <xf numFmtId="168" fontId="15" fillId="0" borderId="0" xfId="0" applyFont="true" applyBorder="false" applyAlignment="true" applyProtection="true">
      <alignment horizontal="center" vertical="center" textRotation="0" wrapText="true" indent="0" shrinkToFit="false"/>
      <protection locked="true" hidden="false"/>
    </xf>
    <xf numFmtId="164" fontId="16" fillId="0" borderId="1" xfId="0" applyFont="true" applyBorder="true" applyAlignment="true" applyProtection="tru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ont>
        <name val="Arial"/>
        <charset val="1"/>
        <family val="0"/>
        <b val="1"/>
        <color rgb="FF0CA30C"/>
        <sz val="10"/>
      </font>
    </dxf>
    <dxf>
      <font>
        <name val="Arial"/>
        <charset val="1"/>
        <family val="0"/>
        <b val="1"/>
        <color rgb="FFB45309"/>
        <sz val="10"/>
      </font>
      <fill>
        <patternFill>
          <bgColor rgb="FFFFF6E5"/>
        </patternFill>
      </fill>
    </dxf>
    <dxf>
      <font>
        <name val="Arial"/>
        <charset val="1"/>
        <family val="0"/>
        <b val="1"/>
        <color rgb="FFD03B3B"/>
        <sz val="10"/>
      </font>
      <fill>
        <patternFill>
          <bgColor rgb="FFFDEAEA"/>
        </patternFill>
      </fill>
    </dxf>
    <dxf>
      <fill>
        <patternFill patternType="solid">
          <fgColor rgb="FF1F4E79"/>
          <bgColor rgb="FF000000"/>
        </patternFill>
      </fill>
    </dxf>
    <dxf>
      <fill>
        <patternFill patternType="solid">
          <bgColor rgb="FF000000"/>
        </patternFill>
      </fill>
    </dxf>
    <dxf>
      <fill>
        <patternFill patternType="solid">
          <fgColor rgb="FFFFFFFF"/>
          <bgColor rgb="FF000000"/>
        </patternFill>
      </fill>
    </dxf>
    <dxf>
      <fill>
        <patternFill patternType="solid">
          <fgColor rgb="FFD03B3B"/>
          <bgColor rgb="FF000000"/>
        </patternFill>
      </fill>
    </dxf>
    <dxf>
      <fill>
        <patternFill patternType="solid">
          <fgColor rgb="FFFFE699"/>
          <bgColor rgb="FF000000"/>
        </patternFill>
      </fill>
    </dxf>
    <dxf>
      <fill>
        <patternFill patternType="solid">
          <fgColor rgb="FF7F6000"/>
          <bgColor rgb="FF000000"/>
        </patternFill>
      </fill>
    </dxf>
    <dxf>
      <fill>
        <patternFill patternType="solid">
          <fgColor rgb="FF808080"/>
          <bgColor rgb="FF000000"/>
        </patternFill>
      </fill>
    </dxf>
    <dxf>
      <font>
        <name val="Arial"/>
        <charset val="1"/>
        <family val="0"/>
        <b val="1"/>
        <color rgb="FFFFFFFF"/>
        <sz val="10"/>
      </font>
      <fill>
        <patternFill>
          <bgColor rgb="FFD03B3B"/>
        </patternFill>
      </fill>
    </dxf>
    <dxf>
      <font>
        <name val="Arial"/>
        <charset val="1"/>
        <family val="0"/>
        <b val="1"/>
        <color rgb="FF7F6000"/>
        <sz val="10"/>
      </font>
      <fill>
        <patternFill>
          <bgColor rgb="FFFFE699"/>
        </patternFill>
      </fill>
    </dxf>
    <dxf>
      <font>
        <name val="Arial"/>
        <charset val="1"/>
        <family val="0"/>
        <color rgb="FF808080"/>
        <sz val="10"/>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0B0B0"/>
      <rgbColor rgb="FF808080"/>
      <rgbColor rgb="FF9999FF"/>
      <rgbColor rgb="FFD03B3B"/>
      <rgbColor rgb="FFFFF6E5"/>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DEAEA"/>
      <rgbColor rgb="FFCCFFCC"/>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0CA30C"/>
      <rgbColor rgb="FF003300"/>
      <rgbColor rgb="FF333300"/>
      <rgbColor rgb="FFB45309"/>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4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7.89453125" defaultRowHeight="15" customHeight="false" zeroHeight="false" outlineLevelRow="0" outlineLevelCol="0"/>
  <cols>
    <col collapsed="false" customWidth="true" hidden="false" outlineLevel="0" max="1" min="1" style="1" width="2.73"/>
    <col collapsed="false" customWidth="true" hidden="false" outlineLevel="0" max="2" min="2" style="1" width="100.08"/>
  </cols>
  <sheetData>
    <row r="1" customFormat="false" ht="15" hidden="false" customHeight="false" outlineLevel="0" collapsed="false">
      <c r="B1" s="2" t="s">
        <v>0</v>
      </c>
    </row>
    <row r="3" customFormat="false" ht="15" hidden="false" customHeight="false" outlineLevel="0" collapsed="false">
      <c r="B3" s="3" t="s">
        <v>1</v>
      </c>
    </row>
    <row r="4" customFormat="false" ht="40.5" hidden="false" customHeight="true" outlineLevel="0" collapsed="false">
      <c r="B4" s="4" t="s">
        <v>2</v>
      </c>
    </row>
    <row r="6" customFormat="false" ht="15" hidden="false" customHeight="false" outlineLevel="0" collapsed="false">
      <c r="B6" s="3" t="s">
        <v>3</v>
      </c>
    </row>
    <row r="7" customFormat="false" ht="15.75" hidden="false" customHeight="true" outlineLevel="0" collapsed="false">
      <c r="B7" s="4" t="s">
        <v>4</v>
      </c>
    </row>
    <row r="8" customFormat="false" ht="27" hidden="false" customHeight="true" outlineLevel="0" collapsed="false">
      <c r="B8" s="4" t="s">
        <v>5</v>
      </c>
    </row>
    <row r="9" customFormat="false" ht="27" hidden="false" customHeight="true" outlineLevel="0" collapsed="false">
      <c r="B9" s="4" t="s">
        <v>6</v>
      </c>
    </row>
    <row r="10" customFormat="false" ht="15.75" hidden="false" customHeight="true" outlineLevel="0" collapsed="false">
      <c r="B10" s="4" t="s">
        <v>7</v>
      </c>
    </row>
    <row r="11" customFormat="false" ht="27" hidden="false" customHeight="true" outlineLevel="0" collapsed="false">
      <c r="B11" s="4" t="s">
        <v>8</v>
      </c>
    </row>
    <row r="12" customFormat="false" ht="27" hidden="false" customHeight="true" outlineLevel="0" collapsed="false">
      <c r="B12" s="4" t="s">
        <v>9</v>
      </c>
    </row>
    <row r="13" customFormat="false" ht="15.75" hidden="false" customHeight="true" outlineLevel="0" collapsed="false">
      <c r="B13" s="4" t="s">
        <v>10</v>
      </c>
    </row>
    <row r="15" customFormat="false" ht="15" hidden="false" customHeight="false" outlineLevel="0" collapsed="false">
      <c r="B15" s="3" t="s">
        <v>11</v>
      </c>
    </row>
    <row r="16" customFormat="false" ht="15.75" hidden="false" customHeight="true" outlineLevel="0" collapsed="false">
      <c r="B16" s="4" t="s">
        <v>12</v>
      </c>
    </row>
    <row r="17" customFormat="false" ht="27" hidden="false" customHeight="true" outlineLevel="0" collapsed="false">
      <c r="B17" s="4" t="s">
        <v>13</v>
      </c>
    </row>
    <row r="18" customFormat="false" ht="27" hidden="false" customHeight="true" outlineLevel="0" collapsed="false">
      <c r="B18" s="4" t="s">
        <v>14</v>
      </c>
    </row>
    <row r="19" customFormat="false" ht="15.75" hidden="false" customHeight="true" outlineLevel="0" collapsed="false">
      <c r="B19" s="4" t="s">
        <v>15</v>
      </c>
    </row>
    <row r="21" customFormat="false" ht="15" hidden="false" customHeight="false" outlineLevel="0" collapsed="false">
      <c r="B21" s="3" t="s">
        <v>16</v>
      </c>
    </row>
    <row r="22" customFormat="false" ht="15.75" hidden="false" customHeight="true" outlineLevel="0" collapsed="false">
      <c r="B22" s="4" t="s">
        <v>17</v>
      </c>
    </row>
    <row r="23" customFormat="false" ht="40.5" hidden="false" customHeight="true" outlineLevel="0" collapsed="false">
      <c r="B23" s="4" t="s">
        <v>18</v>
      </c>
    </row>
    <row r="24" customFormat="false" ht="27" hidden="false" customHeight="true" outlineLevel="0" collapsed="false">
      <c r="B24" s="4" t="s">
        <v>19</v>
      </c>
    </row>
    <row r="25" customFormat="false" ht="27" hidden="false" customHeight="true" outlineLevel="0" collapsed="false">
      <c r="B25" s="4" t="s">
        <v>20</v>
      </c>
    </row>
    <row r="26" customFormat="false" ht="27" hidden="false" customHeight="true" outlineLevel="0" collapsed="false">
      <c r="B26" s="4" t="s">
        <v>21</v>
      </c>
    </row>
    <row r="28" customFormat="false" ht="15" hidden="false" customHeight="false" outlineLevel="0" collapsed="false">
      <c r="B28" s="3" t="s">
        <v>22</v>
      </c>
    </row>
    <row r="29" customFormat="false" ht="27" hidden="false" customHeight="true" outlineLevel="0" collapsed="false">
      <c r="B29" s="4" t="s">
        <v>23</v>
      </c>
    </row>
    <row r="30" customFormat="false" ht="27" hidden="false" customHeight="true" outlineLevel="0" collapsed="false">
      <c r="B30" s="4" t="s">
        <v>24</v>
      </c>
    </row>
    <row r="31" customFormat="false" ht="27" hidden="false" customHeight="true" outlineLevel="0" collapsed="false">
      <c r="B31" s="4" t="s">
        <v>25</v>
      </c>
    </row>
    <row r="32" customFormat="false" ht="27" hidden="false" customHeight="true" outlineLevel="0" collapsed="false">
      <c r="B32" s="4" t="s">
        <v>26</v>
      </c>
    </row>
    <row r="34" customFormat="false" ht="15" hidden="false" customHeight="false" outlineLevel="0" collapsed="false">
      <c r="B34" s="3" t="s">
        <v>27</v>
      </c>
    </row>
    <row r="35" customFormat="false" ht="27" hidden="false" customHeight="true" outlineLevel="0" collapsed="false">
      <c r="B35" s="5" t="s">
        <v>28</v>
      </c>
    </row>
    <row r="36" customFormat="false" ht="54" hidden="false" customHeight="true" outlineLevel="0" collapsed="false">
      <c r="B36" s="5" t="s">
        <v>29</v>
      </c>
    </row>
    <row r="37" customFormat="false" ht="15.75" hidden="false" customHeight="true" outlineLevel="0" collapsed="false">
      <c r="B37" s="5" t="s">
        <v>30</v>
      </c>
    </row>
    <row r="38" customFormat="false" ht="27" hidden="false" customHeight="true" outlineLevel="0" collapsed="false">
      <c r="B38" s="5" t="s">
        <v>31</v>
      </c>
    </row>
    <row r="39" customFormat="false" ht="54" hidden="false" customHeight="true" outlineLevel="0" collapsed="false">
      <c r="B39" s="5" t="s">
        <v>32</v>
      </c>
    </row>
    <row r="40" customFormat="false" ht="27" hidden="false" customHeight="true" outlineLevel="0" collapsed="false">
      <c r="B40" s="5" t="s">
        <v>33</v>
      </c>
    </row>
    <row r="41" customFormat="false" ht="27" hidden="false" customHeight="true" outlineLevel="0" collapsed="false">
      <c r="B41" s="5" t="s">
        <v>34</v>
      </c>
    </row>
    <row r="42" customFormat="false" ht="27" hidden="false" customHeight="true" outlineLevel="0" collapsed="false">
      <c r="B42" s="5" t="s">
        <v>35</v>
      </c>
    </row>
    <row r="43" customFormat="false" ht="27" hidden="false" customHeight="true" outlineLevel="0" collapsed="false">
      <c r="B43" s="5" t="s">
        <v>36</v>
      </c>
    </row>
    <row r="44" customFormat="false" ht="27" hidden="false" customHeight="true" outlineLevel="0" collapsed="false">
      <c r="B44" s="5" t="s">
        <v>37</v>
      </c>
    </row>
    <row r="45" customFormat="false" ht="27" hidden="false" customHeight="true" outlineLevel="0" collapsed="false">
      <c r="B45" s="5" t="s">
        <v>38</v>
      </c>
    </row>
    <row r="46" customFormat="false" ht="27" hidden="false" customHeight="true" outlineLevel="0" collapsed="false">
      <c r="B46" s="5" t="s">
        <v>39</v>
      </c>
    </row>
    <row r="47" customFormat="false" ht="27" hidden="false" customHeight="true" outlineLevel="0" collapsed="false">
      <c r="B47" s="5" t="s">
        <v>40</v>
      </c>
    </row>
    <row r="48" customFormat="false" ht="27" hidden="false" customHeight="true" outlineLevel="0" collapsed="false">
      <c r="B48" s="5" t="s">
        <v>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7.89453125" defaultRowHeight="15" customHeight="false" zeroHeight="false" outlineLevelRow="0" outlineLevelCol="0"/>
  <cols>
    <col collapsed="false" customWidth="true" hidden="false" outlineLevel="0" max="1" min="1" style="1" width="30.93"/>
    <col collapsed="false" customWidth="true" hidden="false" outlineLevel="0" max="2" min="2" style="1" width="9.1"/>
    <col collapsed="false" customWidth="true" hidden="false" outlineLevel="0" max="3" min="3" style="1" width="10.92"/>
    <col collapsed="false" customWidth="true" hidden="false" outlineLevel="0" max="4" min="4" style="1" width="18.2"/>
    <col collapsed="false" customWidth="true" hidden="false" outlineLevel="0" max="5" min="5" style="1" width="10.92"/>
    <col collapsed="false" customWidth="true" hidden="false" outlineLevel="0" max="6" min="6" style="1" width="60.05"/>
  </cols>
  <sheetData>
    <row r="1" customFormat="false" ht="17.15" hidden="false" customHeight="false" outlineLevel="0" collapsed="false">
      <c r="A1" s="2" t="s">
        <v>42</v>
      </c>
    </row>
    <row r="2" customFormat="false" ht="15" hidden="false" customHeight="false" outlineLevel="0" collapsed="false">
      <c r="A2" s="6" t="s">
        <v>43</v>
      </c>
    </row>
    <row r="3" customFormat="false" ht="15" hidden="false" customHeight="false" outlineLevel="0" collapsed="false">
      <c r="A3" s="7" t="s">
        <v>44</v>
      </c>
      <c r="B3" s="7" t="s">
        <v>45</v>
      </c>
      <c r="C3" s="7" t="s">
        <v>46</v>
      </c>
      <c r="D3" s="7" t="s">
        <v>47</v>
      </c>
      <c r="E3" s="7" t="s">
        <v>48</v>
      </c>
      <c r="F3" s="7" t="s">
        <v>49</v>
      </c>
    </row>
    <row r="4" customFormat="false" ht="15" hidden="false" customHeight="false" outlineLevel="0" collapsed="false">
      <c r="A4" s="8" t="s">
        <v>50</v>
      </c>
      <c r="B4" s="9" t="s">
        <v>51</v>
      </c>
      <c r="C4" s="10" t="n">
        <v>0.15</v>
      </c>
      <c r="D4" s="11" t="s">
        <v>52</v>
      </c>
      <c r="E4" s="12" t="s">
        <v>53</v>
      </c>
      <c r="F4" s="13" t="s">
        <v>54</v>
      </c>
    </row>
    <row r="5" customFormat="false" ht="15" hidden="false" customHeight="false" outlineLevel="0" collapsed="false">
      <c r="A5" s="8" t="s">
        <v>55</v>
      </c>
      <c r="B5" s="9" t="s">
        <v>56</v>
      </c>
      <c r="C5" s="10" t="n">
        <v>0.15</v>
      </c>
      <c r="D5" s="11" t="s">
        <v>52</v>
      </c>
      <c r="E5" s="12" t="s">
        <v>53</v>
      </c>
      <c r="F5" s="13" t="s">
        <v>57</v>
      </c>
    </row>
    <row r="6" customFormat="false" ht="15" hidden="false" customHeight="false" outlineLevel="0" collapsed="false">
      <c r="A6" s="8" t="s">
        <v>58</v>
      </c>
      <c r="B6" s="9" t="s">
        <v>59</v>
      </c>
      <c r="C6" s="10" t="n">
        <v>0.15</v>
      </c>
      <c r="D6" s="11" t="s">
        <v>52</v>
      </c>
      <c r="E6" s="12" t="s">
        <v>53</v>
      </c>
      <c r="F6" s="13" t="s">
        <v>60</v>
      </c>
    </row>
    <row r="7" customFormat="false" ht="15" hidden="false" customHeight="false" outlineLevel="0" collapsed="false">
      <c r="A7" s="8" t="s">
        <v>61</v>
      </c>
      <c r="B7" s="9" t="s">
        <v>62</v>
      </c>
      <c r="C7" s="10" t="n">
        <v>0.1</v>
      </c>
      <c r="D7" s="11" t="s">
        <v>52</v>
      </c>
      <c r="E7" s="12" t="s">
        <v>63</v>
      </c>
      <c r="F7" s="13" t="s">
        <v>64</v>
      </c>
    </row>
    <row r="8" customFormat="false" ht="15" hidden="false" customHeight="false" outlineLevel="0" collapsed="false">
      <c r="A8" s="8" t="s">
        <v>65</v>
      </c>
      <c r="B8" s="9" t="s">
        <v>66</v>
      </c>
      <c r="C8" s="10" t="n">
        <v>0.75</v>
      </c>
      <c r="D8" s="8" t="s">
        <v>67</v>
      </c>
      <c r="E8" s="12" t="s">
        <v>68</v>
      </c>
      <c r="F8" s="13" t="s">
        <v>69</v>
      </c>
    </row>
    <row r="9" customFormat="false" ht="15" hidden="false" customHeight="false" outlineLevel="0" collapsed="false">
      <c r="A9" s="8" t="s">
        <v>70</v>
      </c>
      <c r="B9" s="9" t="s">
        <v>71</v>
      </c>
      <c r="C9" s="14" t="n">
        <v>7.15</v>
      </c>
      <c r="D9" s="8" t="s">
        <v>72</v>
      </c>
      <c r="E9" s="12" t="s">
        <v>73</v>
      </c>
      <c r="F9" s="13" t="s">
        <v>74</v>
      </c>
    </row>
    <row r="10" customFormat="false" ht="15" hidden="false" customHeight="false" outlineLevel="0" collapsed="false">
      <c r="A10" s="8" t="s">
        <v>75</v>
      </c>
      <c r="B10" s="9" t="s">
        <v>76</v>
      </c>
      <c r="C10" s="14" t="n">
        <v>0.75</v>
      </c>
      <c r="D10" s="8" t="s">
        <v>67</v>
      </c>
      <c r="E10" s="12" t="s">
        <v>77</v>
      </c>
      <c r="F10" s="13" t="s">
        <v>78</v>
      </c>
    </row>
    <row r="11" customFormat="false" ht="15" hidden="false" customHeight="false" outlineLevel="0" collapsed="false">
      <c r="A11" s="8" t="s">
        <v>79</v>
      </c>
      <c r="B11" s="9" t="s">
        <v>80</v>
      </c>
      <c r="C11" s="14" t="n">
        <v>0.6</v>
      </c>
      <c r="D11" s="8" t="s">
        <v>81</v>
      </c>
      <c r="E11" s="12" t="s">
        <v>82</v>
      </c>
      <c r="F11" s="15" t="s">
        <v>83</v>
      </c>
    </row>
    <row r="13" customFormat="false" ht="15" hidden="false" customHeight="false" outlineLevel="0" collapsed="false">
      <c r="A13" s="3" t="s">
        <v>84</v>
      </c>
    </row>
    <row r="14" customFormat="false" ht="15" hidden="false" customHeight="false" outlineLevel="0" collapsed="false">
      <c r="A14" s="8" t="s">
        <v>85</v>
      </c>
      <c r="B14" s="9" t="s">
        <v>86</v>
      </c>
      <c r="C14" s="16" t="n">
        <v>8</v>
      </c>
      <c r="F14" s="8" t="s">
        <v>87</v>
      </c>
    </row>
    <row r="15" customFormat="false" ht="15" hidden="false" customHeight="false" outlineLevel="0" collapsed="false">
      <c r="A15" s="8" t="s">
        <v>88</v>
      </c>
      <c r="B15" s="9" t="s">
        <v>89</v>
      </c>
      <c r="C15" s="16" t="n">
        <v>4</v>
      </c>
      <c r="F15" s="8" t="s">
        <v>87</v>
      </c>
    </row>
    <row r="16" customFormat="false" ht="15" hidden="false" customHeight="false" outlineLevel="0" collapsed="false">
      <c r="A16" s="8" t="s">
        <v>90</v>
      </c>
      <c r="B16" s="9" t="s">
        <v>91</v>
      </c>
      <c r="C16" s="16" t="n">
        <v>1</v>
      </c>
      <c r="F16" s="8" t="s">
        <v>87</v>
      </c>
    </row>
    <row r="17" customFormat="false" ht="15" hidden="false" customHeight="false" outlineLevel="0" collapsed="false">
      <c r="A17" s="8" t="s">
        <v>92</v>
      </c>
      <c r="B17" s="9" t="s">
        <v>93</v>
      </c>
      <c r="C17" s="16" t="n">
        <v>0.5</v>
      </c>
      <c r="F17" s="8" t="s">
        <v>87</v>
      </c>
    </row>
    <row r="19" customFormat="false" ht="15" hidden="false" customHeight="false" outlineLevel="0" collapsed="false">
      <c r="A19" s="8" t="s">
        <v>94</v>
      </c>
      <c r="B19" s="9" t="s">
        <v>95</v>
      </c>
      <c r="C19" s="17" t="n">
        <v>8</v>
      </c>
      <c r="D19" s="8" t="s">
        <v>96</v>
      </c>
      <c r="F19" s="8" t="s">
        <v>97</v>
      </c>
    </row>
    <row r="21" customFormat="false" ht="15" hidden="false" customHeight="false" outlineLevel="0" collapsed="false">
      <c r="A21" s="3" t="s">
        <v>98</v>
      </c>
    </row>
    <row r="22" customFormat="false" ht="40.5" hidden="false" customHeight="true" outlineLevel="0" collapsed="false">
      <c r="A22" s="18" t="s">
        <v>99</v>
      </c>
      <c r="B22" s="18"/>
      <c r="C22" s="18"/>
      <c r="D22" s="18"/>
      <c r="E22" s="18"/>
      <c r="F22" s="18"/>
    </row>
  </sheetData>
  <mergeCells count="1">
    <mergeCell ref="A22:F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7.89453125" defaultRowHeight="15" customHeight="false" zeroHeight="false" outlineLevelRow="0" outlineLevelCol="0"/>
  <cols>
    <col collapsed="false" customWidth="true" hidden="false" outlineLevel="0" max="1" min="1" style="1" width="23.66"/>
    <col collapsed="false" customWidth="true" hidden="false" outlineLevel="0" max="5" min="2" style="1" width="12.74"/>
    <col collapsed="false" customWidth="true" hidden="false" outlineLevel="0" max="6" min="6" style="1" width="27.31"/>
    <col collapsed="false" customWidth="true" hidden="false" outlineLevel="0" max="7" min="7" style="1" width="13.65"/>
    <col collapsed="false" customWidth="true" hidden="false" outlineLevel="0" max="9" min="8" style="1" width="10.92"/>
  </cols>
  <sheetData>
    <row r="1" customFormat="false" ht="17.15" hidden="false" customHeight="false" outlineLevel="0" collapsed="false">
      <c r="A1" s="2" t="s">
        <v>100</v>
      </c>
    </row>
    <row r="2" customFormat="false" ht="15" hidden="false" customHeight="false" outlineLevel="0" collapsed="false">
      <c r="A2" s="6" t="s">
        <v>101</v>
      </c>
    </row>
    <row r="4" customFormat="false" ht="15" hidden="false" customHeight="false" outlineLevel="0" collapsed="false">
      <c r="A4" s="3" t="s">
        <v>102</v>
      </c>
    </row>
    <row r="5" customFormat="false" ht="15" hidden="false" customHeight="false" outlineLevel="0" collapsed="false">
      <c r="A5" s="7" t="s">
        <v>103</v>
      </c>
      <c r="B5" s="7" t="s">
        <v>104</v>
      </c>
      <c r="C5" s="7" t="s">
        <v>105</v>
      </c>
      <c r="D5" s="7" t="s">
        <v>106</v>
      </c>
      <c r="E5" s="7" t="s">
        <v>107</v>
      </c>
      <c r="F5" s="7" t="s">
        <v>49</v>
      </c>
    </row>
    <row r="6" customFormat="false" ht="15" hidden="false" customHeight="false" outlineLevel="0" collapsed="false">
      <c r="A6" s="19" t="n">
        <v>1</v>
      </c>
      <c r="B6" s="8" t="s">
        <v>108</v>
      </c>
      <c r="C6" s="17" t="n">
        <v>176</v>
      </c>
      <c r="D6" s="17" t="n">
        <v>176</v>
      </c>
      <c r="E6" s="20" t="n">
        <f aca="false">IF($C6="","",($D6-$C6)/$C6)</f>
        <v>0</v>
      </c>
      <c r="F6" s="21"/>
    </row>
    <row r="7" customFormat="false" ht="15" hidden="false" customHeight="false" outlineLevel="0" collapsed="false">
      <c r="A7" s="19" t="n">
        <v>2</v>
      </c>
      <c r="B7" s="8" t="s">
        <v>109</v>
      </c>
      <c r="C7" s="17" t="n">
        <v>176</v>
      </c>
      <c r="D7" s="17" t="n">
        <v>185</v>
      </c>
      <c r="E7" s="20" t="n">
        <f aca="false">IF($C7="","",($D7-$C7)/$C7)</f>
        <v>0.0511363636363636</v>
      </c>
      <c r="F7" s="21"/>
    </row>
    <row r="8" customFormat="false" ht="15" hidden="false" customHeight="false" outlineLevel="0" collapsed="false">
      <c r="A8" s="19" t="n">
        <v>3</v>
      </c>
      <c r="B8" s="8" t="s">
        <v>110</v>
      </c>
      <c r="C8" s="17" t="n">
        <v>185</v>
      </c>
      <c r="D8" s="17" t="n">
        <v>185</v>
      </c>
      <c r="E8" s="20" t="n">
        <f aca="false">IF($C8="","",($D8-$C8)/$C8)</f>
        <v>0</v>
      </c>
      <c r="F8" s="21"/>
    </row>
    <row r="9" customFormat="false" ht="15" hidden="false" customHeight="false" outlineLevel="0" collapsed="false">
      <c r="A9" s="19" t="n">
        <v>4</v>
      </c>
      <c r="B9" s="8" t="s">
        <v>111</v>
      </c>
      <c r="C9" s="17" t="n">
        <v>186</v>
      </c>
      <c r="D9" s="17" t="n">
        <v>186</v>
      </c>
      <c r="E9" s="20" t="n">
        <f aca="false">IF($C9="","",($D9-$C9)/$C9)</f>
        <v>0</v>
      </c>
      <c r="F9" s="21"/>
    </row>
    <row r="10" customFormat="false" ht="15" hidden="false" customHeight="false" outlineLevel="0" collapsed="false">
      <c r="A10" s="19" t="n">
        <v>5</v>
      </c>
      <c r="B10" s="8" t="s">
        <v>112</v>
      </c>
      <c r="C10" s="17" t="n">
        <v>187</v>
      </c>
      <c r="D10" s="17" t="n">
        <v>187</v>
      </c>
      <c r="E10" s="20" t="n">
        <f aca="false">IF($C10="","",($D10-$C10)/$C10)</f>
        <v>0</v>
      </c>
      <c r="F10" s="21"/>
    </row>
    <row r="11" customFormat="false" ht="25.35" hidden="false" customHeight="false" outlineLevel="0" collapsed="false">
      <c r="A11" s="19" t="n">
        <v>6</v>
      </c>
      <c r="B11" s="8" t="s">
        <v>113</v>
      </c>
      <c r="C11" s="17"/>
      <c r="D11" s="17" t="n">
        <v>256</v>
      </c>
      <c r="E11" s="20" t="str">
        <f aca="false">IF($C11="","",($D11-$C11)/$C11)</f>
        <v/>
      </c>
      <c r="F11" s="21" t="s">
        <v>114</v>
      </c>
    </row>
    <row r="12" customFormat="false" ht="40.5" hidden="false" customHeight="true" outlineLevel="0" collapsed="false">
      <c r="A12" s="18" t="s">
        <v>115</v>
      </c>
      <c r="B12" s="18"/>
      <c r="C12" s="18"/>
      <c r="D12" s="18"/>
      <c r="E12" s="18"/>
      <c r="F12" s="18"/>
    </row>
    <row r="14" customFormat="false" ht="15" hidden="false" customHeight="false" outlineLevel="0" collapsed="false">
      <c r="A14" s="3" t="s">
        <v>116</v>
      </c>
    </row>
    <row r="15" customFormat="false" ht="15" hidden="false" customHeight="false" outlineLevel="0" collapsed="false">
      <c r="A15" s="7" t="s">
        <v>103</v>
      </c>
      <c r="B15" s="7" t="s">
        <v>117</v>
      </c>
      <c r="C15" s="7" t="s">
        <v>118</v>
      </c>
      <c r="D15" s="7" t="s">
        <v>119</v>
      </c>
      <c r="E15" s="7" t="s">
        <v>120</v>
      </c>
      <c r="F15" s="7" t="s">
        <v>121</v>
      </c>
      <c r="G15" s="7" t="s">
        <v>122</v>
      </c>
    </row>
    <row r="16" customFormat="false" ht="15" hidden="false" customHeight="false" outlineLevel="0" collapsed="false">
      <c r="A16" s="19" t="n">
        <v>1</v>
      </c>
      <c r="B16" s="8" t="s">
        <v>123</v>
      </c>
      <c r="C16" s="8" t="s">
        <v>109</v>
      </c>
      <c r="D16" s="22" t="n">
        <v>47.6373333333333</v>
      </c>
      <c r="E16" s="22" t="n">
        <v>50.0733333333333</v>
      </c>
      <c r="F16" s="22" t="n">
        <v>47.478431372549</v>
      </c>
      <c r="G16" s="20" t="n">
        <f aca="false">($F16-$E16)/$E16</f>
        <v>-0.0518220335664553</v>
      </c>
    </row>
    <row r="17" customFormat="false" ht="15" hidden="false" customHeight="false" outlineLevel="0" collapsed="false">
      <c r="A17" s="19" t="n">
        <v>2</v>
      </c>
      <c r="B17" s="8" t="s">
        <v>123</v>
      </c>
      <c r="C17" s="8" t="s">
        <v>110</v>
      </c>
      <c r="D17" s="22" t="n">
        <v>22.9973333333333</v>
      </c>
      <c r="E17" s="22" t="n">
        <v>24.1733333333333</v>
      </c>
      <c r="F17" s="22" t="n">
        <v>22.9137254901961</v>
      </c>
      <c r="G17" s="20" t="n">
        <f aca="false">($F17-$E17)/$E17</f>
        <v>-0.0521073294182516</v>
      </c>
    </row>
    <row r="18" customFormat="false" ht="15" hidden="false" customHeight="false" outlineLevel="0" collapsed="false">
      <c r="A18" s="19" t="n">
        <v>3</v>
      </c>
      <c r="B18" s="8" t="s">
        <v>123</v>
      </c>
      <c r="C18" s="8" t="s">
        <v>124</v>
      </c>
      <c r="D18" s="22" t="n">
        <v>47.6373333333333</v>
      </c>
      <c r="E18" s="22" t="n">
        <v>50.0733333333333</v>
      </c>
      <c r="F18" s="22" t="n">
        <v>48.21</v>
      </c>
      <c r="G18" s="20" t="n">
        <f aca="false">($F18-$E18)/$E18</f>
        <v>-0.0372120889362263</v>
      </c>
    </row>
    <row r="19" customFormat="false" ht="15" hidden="false" customHeight="false" outlineLevel="0" collapsed="false">
      <c r="A19" s="19" t="n">
        <v>4</v>
      </c>
      <c r="B19" s="8" t="s">
        <v>123</v>
      </c>
      <c r="C19" s="8" t="s">
        <v>112</v>
      </c>
      <c r="D19" s="22" t="n">
        <v>34.496</v>
      </c>
      <c r="E19" s="22" t="n">
        <v>36.26</v>
      </c>
      <c r="F19" s="22" t="n">
        <v>33.12</v>
      </c>
      <c r="G19" s="20" t="n">
        <f aca="false">($F19-$E19)/$E19</f>
        <v>-0.0865968008825152</v>
      </c>
    </row>
    <row r="20" customFormat="false" ht="15" hidden="false" customHeight="false" outlineLevel="0" collapsed="false">
      <c r="A20" s="19" t="n">
        <v>5</v>
      </c>
      <c r="B20" s="8" t="s">
        <v>123</v>
      </c>
      <c r="C20" s="8" t="s">
        <v>125</v>
      </c>
      <c r="D20" s="22" t="n">
        <v>11.4986666666667</v>
      </c>
      <c r="E20" s="22" t="n">
        <v>12.0866666666667</v>
      </c>
      <c r="F20" s="22" t="n">
        <v>10.53</v>
      </c>
      <c r="G20" s="20" t="n">
        <f aca="false">($F20-$E20)/$E20</f>
        <v>-0.128792057363488</v>
      </c>
    </row>
    <row r="21" customFormat="false" ht="15" hidden="false" customHeight="false" outlineLevel="0" collapsed="false">
      <c r="A21" s="19" t="n">
        <v>6</v>
      </c>
      <c r="B21" s="8" t="s">
        <v>108</v>
      </c>
      <c r="C21" s="8" t="s">
        <v>126</v>
      </c>
      <c r="D21" s="22" t="n">
        <v>14.08</v>
      </c>
      <c r="E21" s="22" t="n">
        <v>14.8</v>
      </c>
      <c r="F21" s="22" t="n">
        <v>14.33</v>
      </c>
      <c r="G21" s="20" t="n">
        <f aca="false">($F21-$E21)/$E21</f>
        <v>-0.0317567567567568</v>
      </c>
    </row>
    <row r="22" customFormat="false" ht="15" hidden="false" customHeight="false" outlineLevel="0" collapsed="false">
      <c r="A22" s="19" t="n">
        <v>7</v>
      </c>
      <c r="B22" s="8" t="s">
        <v>127</v>
      </c>
      <c r="C22" s="8" t="s">
        <v>126</v>
      </c>
      <c r="D22" s="22" t="n">
        <v>16.896</v>
      </c>
      <c r="E22" s="22" t="n">
        <v>17.76</v>
      </c>
      <c r="F22" s="22" t="n">
        <v>18.23</v>
      </c>
      <c r="G22" s="20" t="n">
        <f aca="false">($F22-$E22)/$E22</f>
        <v>0.0264639639639639</v>
      </c>
    </row>
    <row r="23" customFormat="false" ht="15" hidden="false" customHeight="false" outlineLevel="0" collapsed="false">
      <c r="A23" s="19" t="n">
        <v>8</v>
      </c>
      <c r="B23" s="8" t="s">
        <v>128</v>
      </c>
      <c r="C23" s="8" t="s">
        <v>126</v>
      </c>
      <c r="D23" s="22" t="n">
        <v>4.928</v>
      </c>
      <c r="E23" s="22" t="n">
        <v>5.18</v>
      </c>
      <c r="F23" s="22" t="n">
        <v>4.86</v>
      </c>
      <c r="G23" s="20" t="n">
        <f aca="false">($F23-$E23)/$E23</f>
        <v>-0.0617760617760617</v>
      </c>
    </row>
    <row r="24" customFormat="false" ht="15" hidden="false" customHeight="false" outlineLevel="0" collapsed="false">
      <c r="A24" s="19" t="n">
        <v>9</v>
      </c>
      <c r="B24" s="8" t="s">
        <v>129</v>
      </c>
      <c r="C24" s="8" t="s">
        <v>126</v>
      </c>
      <c r="D24" s="22" t="n">
        <v>7.04</v>
      </c>
      <c r="E24" s="22" t="n">
        <v>7.4</v>
      </c>
      <c r="F24" s="22" t="n">
        <v>7.04</v>
      </c>
      <c r="G24" s="20" t="n">
        <f aca="false">($F24-$E24)/$E24</f>
        <v>-0.0486486486486487</v>
      </c>
    </row>
    <row r="25" customFormat="false" ht="15" hidden="false" customHeight="false" outlineLevel="0" collapsed="false">
      <c r="A25" s="19" t="n">
        <v>10</v>
      </c>
      <c r="B25" s="8" t="s">
        <v>130</v>
      </c>
      <c r="C25" s="8" t="s">
        <v>126</v>
      </c>
      <c r="D25" s="22" t="n">
        <v>10.56</v>
      </c>
      <c r="E25" s="22" t="n">
        <v>11.1</v>
      </c>
      <c r="F25" s="22" t="n">
        <v>11.12</v>
      </c>
      <c r="G25" s="20" t="n">
        <f aca="false">($F25-$E25)/$E25</f>
        <v>0.00180180180180176</v>
      </c>
    </row>
    <row r="26" customFormat="false" ht="15" hidden="false" customHeight="false" outlineLevel="0" collapsed="false">
      <c r="A26" s="19" t="n">
        <v>11</v>
      </c>
      <c r="B26" s="8" t="s">
        <v>131</v>
      </c>
      <c r="C26" s="8" t="s">
        <v>126</v>
      </c>
      <c r="D26" s="22" t="n">
        <v>14.08</v>
      </c>
      <c r="E26" s="22" t="n">
        <v>14.8</v>
      </c>
      <c r="F26" s="22" t="n">
        <v>14.62</v>
      </c>
      <c r="G26" s="20" t="n">
        <f aca="false">($F26-$E26)/$E26</f>
        <v>-0.0121621621621623</v>
      </c>
    </row>
    <row r="27" customFormat="false" ht="15" hidden="false" customHeight="false" outlineLevel="0" collapsed="false">
      <c r="A27" s="19" t="n">
        <v>12</v>
      </c>
      <c r="B27" s="8" t="s">
        <v>132</v>
      </c>
      <c r="C27" s="8" t="s">
        <v>126</v>
      </c>
      <c r="D27" s="22" t="n">
        <v>2.816</v>
      </c>
      <c r="E27" s="22" t="n">
        <v>2.96</v>
      </c>
      <c r="F27" s="22" t="n">
        <v>2.95</v>
      </c>
      <c r="G27" s="20" t="n">
        <f aca="false">($F27-$E27)/$E27</f>
        <v>-0.00337837837837831</v>
      </c>
    </row>
    <row r="28" customFormat="false" ht="15" hidden="false" customHeight="true" outlineLevel="0" collapsed="false">
      <c r="A28" s="23" t="s">
        <v>133</v>
      </c>
      <c r="B28" s="23"/>
      <c r="C28" s="23"/>
      <c r="D28" s="24" t="n">
        <f aca="false">SUM(D16:D27)</f>
        <v>234.666666666667</v>
      </c>
      <c r="E28" s="24" t="n">
        <f aca="false">SUM(E16:E27)</f>
        <v>246.666666666667</v>
      </c>
      <c r="F28" s="24" t="n">
        <f aca="false">SUM(F16:F27)</f>
        <v>235.402156862745</v>
      </c>
      <c r="G28" s="25" t="n">
        <f aca="false">($F$28-$E$28)/$E$28</f>
        <v>-0.0456669316375196</v>
      </c>
    </row>
    <row r="29" customFormat="false" ht="15" hidden="false" customHeight="false" outlineLevel="0" collapsed="false">
      <c r="A29" s="6" t="s">
        <v>134</v>
      </c>
    </row>
    <row r="30" customFormat="false" ht="27" hidden="false" customHeight="true" outlineLevel="0" collapsed="false">
      <c r="A30" s="18" t="s">
        <v>135</v>
      </c>
      <c r="B30" s="18"/>
      <c r="C30" s="18"/>
      <c r="D30" s="18"/>
      <c r="E30" s="18"/>
      <c r="F30" s="18"/>
      <c r="G30" s="18"/>
    </row>
    <row r="32" customFormat="false" ht="15" hidden="false" customHeight="false" outlineLevel="0" collapsed="false">
      <c r="A32" s="3" t="s">
        <v>136</v>
      </c>
    </row>
    <row r="33" customFormat="false" ht="15" hidden="false" customHeight="false" outlineLevel="0" collapsed="false">
      <c r="A33" s="7" t="s">
        <v>104</v>
      </c>
      <c r="B33" s="7" t="s">
        <v>137</v>
      </c>
      <c r="C33" s="7" t="s">
        <v>138</v>
      </c>
      <c r="D33" s="7" t="s">
        <v>139</v>
      </c>
      <c r="E33" s="7" t="s">
        <v>140</v>
      </c>
      <c r="F33" s="7" t="s">
        <v>141</v>
      </c>
      <c r="G33" s="7" t="s">
        <v>142</v>
      </c>
      <c r="H33" s="7" t="s">
        <v>143</v>
      </c>
      <c r="I33" s="7" t="s">
        <v>144</v>
      </c>
    </row>
    <row r="34" customFormat="false" ht="15" hidden="false" customHeight="false" outlineLevel="0" collapsed="false">
      <c r="A34" s="8" t="s">
        <v>145</v>
      </c>
      <c r="B34" s="26" t="s">
        <v>146</v>
      </c>
      <c r="C34" s="26" t="s">
        <v>147</v>
      </c>
      <c r="D34" s="26" t="s">
        <v>146</v>
      </c>
      <c r="E34" s="26" t="s">
        <v>147</v>
      </c>
      <c r="F34" s="17" t="n">
        <v>2</v>
      </c>
      <c r="G34" s="17" t="n">
        <v>2</v>
      </c>
      <c r="H34" s="27" t="n">
        <f aca="false">$G34-$F34</f>
        <v>0</v>
      </c>
      <c r="I34" s="20" t="n">
        <f aca="false">$H34/$F34</f>
        <v>0</v>
      </c>
    </row>
    <row r="35" customFormat="false" ht="15" hidden="false" customHeight="false" outlineLevel="0" collapsed="false">
      <c r="A35" s="8" t="s">
        <v>148</v>
      </c>
      <c r="B35" s="26" t="s">
        <v>147</v>
      </c>
      <c r="C35" s="26" t="s">
        <v>149</v>
      </c>
      <c r="D35" s="26" t="s">
        <v>147</v>
      </c>
      <c r="E35" s="26" t="s">
        <v>149</v>
      </c>
      <c r="F35" s="17" t="n">
        <v>7</v>
      </c>
      <c r="G35" s="17" t="n">
        <v>7</v>
      </c>
      <c r="H35" s="27" t="n">
        <f aca="false">$G35-$F35</f>
        <v>0</v>
      </c>
      <c r="I35" s="20" t="n">
        <f aca="false">$H35/$F35</f>
        <v>0</v>
      </c>
    </row>
    <row r="36" customFormat="false" ht="15" hidden="false" customHeight="false" outlineLevel="0" collapsed="false">
      <c r="A36" s="8" t="s">
        <v>150</v>
      </c>
      <c r="B36" s="26" t="s">
        <v>151</v>
      </c>
      <c r="C36" s="26" t="s">
        <v>152</v>
      </c>
      <c r="D36" s="26" t="s">
        <v>151</v>
      </c>
      <c r="E36" s="26" t="s">
        <v>152</v>
      </c>
      <c r="F36" s="17" t="n">
        <v>8</v>
      </c>
      <c r="G36" s="17" t="n">
        <v>8</v>
      </c>
      <c r="H36" s="27" t="n">
        <f aca="false">$G36-$F36</f>
        <v>0</v>
      </c>
      <c r="I36" s="20" t="n">
        <f aca="false">$H36/$F36</f>
        <v>0</v>
      </c>
    </row>
    <row r="37" customFormat="false" ht="15" hidden="false" customHeight="false" outlineLevel="0" collapsed="false">
      <c r="A37" s="8" t="s">
        <v>153</v>
      </c>
      <c r="B37" s="26" t="s">
        <v>152</v>
      </c>
      <c r="C37" s="26" t="s">
        <v>154</v>
      </c>
      <c r="D37" s="26" t="s">
        <v>152</v>
      </c>
      <c r="E37" s="26" t="s">
        <v>155</v>
      </c>
      <c r="F37" s="17" t="n">
        <v>61</v>
      </c>
      <c r="G37" s="17" t="n">
        <v>61</v>
      </c>
      <c r="H37" s="27" t="n">
        <f aca="false">$G37-$F37</f>
        <v>0</v>
      </c>
      <c r="I37" s="20" t="n">
        <f aca="false">$H37/$F37</f>
        <v>0</v>
      </c>
    </row>
    <row r="38" customFormat="false" ht="15" hidden="false" customHeight="false" outlineLevel="0" collapsed="false">
      <c r="A38" s="8" t="s">
        <v>156</v>
      </c>
      <c r="B38" s="26" t="s">
        <v>154</v>
      </c>
      <c r="C38" s="26" t="s">
        <v>157</v>
      </c>
      <c r="D38" s="26" t="s">
        <v>155</v>
      </c>
      <c r="E38" s="26" t="s">
        <v>157</v>
      </c>
      <c r="F38" s="17" t="n">
        <v>19</v>
      </c>
      <c r="G38" s="17" t="n">
        <v>19</v>
      </c>
      <c r="H38" s="27" t="n">
        <f aca="false">$G38-$F38</f>
        <v>0</v>
      </c>
      <c r="I38" s="20" t="n">
        <f aca="false">$H38/$F38</f>
        <v>0</v>
      </c>
    </row>
    <row r="39" customFormat="false" ht="15" hidden="false" customHeight="false" outlineLevel="0" collapsed="false">
      <c r="A39" s="8" t="s">
        <v>158</v>
      </c>
      <c r="B39" s="26" t="s">
        <v>157</v>
      </c>
      <c r="C39" s="26" t="s">
        <v>159</v>
      </c>
      <c r="D39" s="26" t="s">
        <v>157</v>
      </c>
      <c r="E39" s="26" t="s">
        <v>159</v>
      </c>
      <c r="F39" s="17" t="n">
        <v>28</v>
      </c>
      <c r="G39" s="17" t="n">
        <v>28</v>
      </c>
      <c r="H39" s="27" t="n">
        <f aca="false">$G39-$F39</f>
        <v>0</v>
      </c>
      <c r="I39" s="20" t="n">
        <f aca="false">$H39/$F39</f>
        <v>0</v>
      </c>
    </row>
    <row r="40" customFormat="false" ht="15" hidden="false" customHeight="false" outlineLevel="0" collapsed="false">
      <c r="A40" s="23" t="s">
        <v>160</v>
      </c>
      <c r="F40" s="28" t="n">
        <f aca="false">SUM(F34:F39)</f>
        <v>125</v>
      </c>
      <c r="G40" s="28" t="n">
        <f aca="false">SUM(G34:G39)</f>
        <v>125</v>
      </c>
      <c r="H40" s="28" t="n">
        <f aca="false">$G$40-$F$40</f>
        <v>0</v>
      </c>
      <c r="I40" s="25" t="n">
        <f aca="false">$H$40/$F$40</f>
        <v>0</v>
      </c>
    </row>
    <row r="41" customFormat="false" ht="15" hidden="false" customHeight="false" outlineLevel="0" collapsed="false">
      <c r="A41" s="6" t="s">
        <v>161</v>
      </c>
    </row>
    <row r="42" customFormat="false" ht="27" hidden="false" customHeight="true" outlineLevel="0" collapsed="false">
      <c r="A42" s="18" t="s">
        <v>162</v>
      </c>
      <c r="B42" s="18"/>
      <c r="C42" s="18"/>
      <c r="D42" s="18"/>
      <c r="E42" s="18"/>
      <c r="F42" s="18"/>
      <c r="G42" s="18"/>
      <c r="H42" s="18"/>
      <c r="I42" s="18"/>
    </row>
    <row r="44" customFormat="false" ht="15" hidden="false" customHeight="false" outlineLevel="0" collapsed="false">
      <c r="A44" s="3" t="s">
        <v>163</v>
      </c>
    </row>
    <row r="45" customFormat="false" ht="15" hidden="false" customHeight="false" outlineLevel="0" collapsed="false">
      <c r="A45" s="7" t="s">
        <v>164</v>
      </c>
      <c r="B45" s="7" t="s">
        <v>165</v>
      </c>
      <c r="C45" s="7" t="s">
        <v>166</v>
      </c>
      <c r="D45" s="7" t="s">
        <v>167</v>
      </c>
    </row>
    <row r="46" customFormat="false" ht="15" hidden="false" customHeight="false" outlineLevel="0" collapsed="false">
      <c r="A46" s="8" t="s">
        <v>168</v>
      </c>
      <c r="B46" s="29" t="n">
        <v>8451.6</v>
      </c>
      <c r="C46" s="29" t="n">
        <v>8091.0588235294</v>
      </c>
      <c r="D46" s="20" t="n">
        <f aca="false">($C46-$B46)/$B46</f>
        <v>-0.0426595173068532</v>
      </c>
    </row>
    <row r="47" customFormat="false" ht="15" hidden="false" customHeight="false" outlineLevel="0" collapsed="false">
      <c r="A47" s="8" t="s">
        <v>169</v>
      </c>
      <c r="B47" s="29" t="n">
        <v>22588.8666666667</v>
      </c>
      <c r="C47" s="29" t="n">
        <v>21556.2745098039</v>
      </c>
      <c r="D47" s="20" t="n">
        <f aca="false">($C47-$B47)/$B47</f>
        <v>-0.0457124375516611</v>
      </c>
    </row>
    <row r="48" customFormat="false" ht="15" hidden="false" customHeight="false" outlineLevel="0" collapsed="false">
      <c r="A48" s="8" t="s">
        <v>170</v>
      </c>
      <c r="B48" s="29" t="n">
        <v>11049.4</v>
      </c>
      <c r="C48" s="29" t="n">
        <v>10578.2352941177</v>
      </c>
      <c r="D48" s="20" t="n">
        <f aca="false">($C48-$B48)/$B48</f>
        <v>-0.0426416552828479</v>
      </c>
    </row>
    <row r="49" customFormat="false" ht="15" hidden="false" customHeight="false" outlineLevel="0" collapsed="false">
      <c r="A49" s="8" t="s">
        <v>171</v>
      </c>
      <c r="B49" s="29" t="n">
        <v>22588.8666666667</v>
      </c>
      <c r="C49" s="29" t="n">
        <v>21556.2745098039</v>
      </c>
      <c r="D49" s="20" t="n">
        <f aca="false">($C49-$B49)/$B49</f>
        <v>-0.0457124375516611</v>
      </c>
    </row>
    <row r="50" customFormat="false" ht="15" hidden="false" customHeight="false" outlineLevel="0" collapsed="false">
      <c r="A50" s="8" t="s">
        <v>172</v>
      </c>
      <c r="B50" s="29" t="n">
        <v>11049.4</v>
      </c>
      <c r="C50" s="29" t="n">
        <v>10578.2352941177</v>
      </c>
      <c r="D50" s="20" t="n">
        <f aca="false">($C50-$B50)/$B50</f>
        <v>-0.0426416552828479</v>
      </c>
    </row>
    <row r="51" customFormat="false" ht="15" hidden="false" customHeight="false" outlineLevel="0" collapsed="false">
      <c r="A51" s="8" t="s">
        <v>173</v>
      </c>
      <c r="B51" s="29" t="n">
        <v>8451.6</v>
      </c>
      <c r="C51" s="29" t="n">
        <v>8091.0588235294</v>
      </c>
      <c r="D51" s="20" t="n">
        <f aca="false">($C51-$B51)/$B51</f>
        <v>-0.0426595173068532</v>
      </c>
    </row>
    <row r="52" customFormat="false" ht="15" hidden="false" customHeight="false" outlineLevel="0" collapsed="false">
      <c r="A52" s="23" t="s">
        <v>174</v>
      </c>
      <c r="B52" s="30" t="n">
        <f aca="false">SUM(B46:B51)</f>
        <v>84179.7333333334</v>
      </c>
      <c r="C52" s="30" t="n">
        <f aca="false">SUM(C46:C51)</f>
        <v>80451.137254902</v>
      </c>
      <c r="D52" s="25" t="n">
        <f aca="false">($C$52-$B$52)/$B$52</f>
        <v>-0.0442932750055998</v>
      </c>
    </row>
    <row r="53" customFormat="false" ht="27" hidden="false" customHeight="true" outlineLevel="0" collapsed="false">
      <c r="A53" s="18" t="s">
        <v>175</v>
      </c>
      <c r="B53" s="18"/>
      <c r="C53" s="18"/>
      <c r="D53" s="18"/>
    </row>
    <row r="55" customFormat="false" ht="15" hidden="false" customHeight="false" outlineLevel="0" collapsed="false">
      <c r="A55" s="3" t="s">
        <v>176</v>
      </c>
    </row>
    <row r="56" customFormat="false" ht="15" hidden="false" customHeight="true" outlineLevel="0" collapsed="false">
      <c r="A56" s="8" t="s">
        <v>177</v>
      </c>
      <c r="B56" s="27" t="n">
        <f aca="false">$D$11</f>
        <v>256</v>
      </c>
      <c r="C56" s="21" t="s">
        <v>178</v>
      </c>
      <c r="D56" s="21"/>
      <c r="E56" s="21"/>
      <c r="F56" s="21"/>
    </row>
    <row r="57" customFormat="false" ht="15" hidden="false" customHeight="false" outlineLevel="0" collapsed="false">
      <c r="A57" s="8" t="s">
        <v>179</v>
      </c>
      <c r="B57" s="31" t="n">
        <f aca="false">$E$28</f>
        <v>246.666666666667</v>
      </c>
      <c r="C57" s="21"/>
      <c r="D57" s="21"/>
      <c r="E57" s="21"/>
      <c r="F57" s="21"/>
    </row>
    <row r="58" customFormat="false" ht="15" hidden="false" customHeight="false" outlineLevel="0" collapsed="false">
      <c r="A58" s="8" t="s">
        <v>180</v>
      </c>
      <c r="B58" s="31" t="n">
        <f aca="false">$F$28</f>
        <v>235.402156862745</v>
      </c>
      <c r="C58" s="21"/>
      <c r="D58" s="21"/>
      <c r="E58" s="21"/>
      <c r="F58" s="21"/>
    </row>
    <row r="59" customFormat="false" ht="15" hidden="false" customHeight="true" outlineLevel="0" collapsed="false">
      <c r="A59" s="8" t="s">
        <v>122</v>
      </c>
      <c r="B59" s="20" t="n">
        <f aca="false">$G$28</f>
        <v>-0.0456669316375196</v>
      </c>
      <c r="C59" s="21" t="s">
        <v>181</v>
      </c>
      <c r="D59" s="21"/>
      <c r="E59" s="21"/>
      <c r="F59" s="21"/>
    </row>
    <row r="60" customFormat="false" ht="15" hidden="false" customHeight="true" outlineLevel="0" collapsed="false">
      <c r="A60" s="8" t="s">
        <v>182</v>
      </c>
      <c r="B60" s="32" t="n">
        <f aca="false">$B$56/$B$58</f>
        <v>1.08750065594881</v>
      </c>
      <c r="C60" s="21" t="s">
        <v>183</v>
      </c>
      <c r="D60" s="21"/>
      <c r="E60" s="21"/>
      <c r="F60" s="21"/>
    </row>
    <row r="61" customFormat="false" ht="15" hidden="false" customHeight="true" outlineLevel="0" collapsed="false">
      <c r="A61" s="8" t="s">
        <v>184</v>
      </c>
      <c r="B61" s="31" t="n">
        <f aca="false">$B$58*'01参数'!$C$19/$B$56</f>
        <v>7.35631740196078</v>
      </c>
      <c r="C61" s="21" t="s">
        <v>185</v>
      </c>
      <c r="D61" s="21"/>
      <c r="E61" s="21"/>
      <c r="F61" s="21"/>
    </row>
    <row r="62" customFormat="false" ht="15" hidden="false" customHeight="true" outlineLevel="0" collapsed="false">
      <c r="A62" s="8" t="s">
        <v>186</v>
      </c>
      <c r="B62" s="27" t="n">
        <f aca="false">$F$40</f>
        <v>125</v>
      </c>
      <c r="C62" s="21" t="s">
        <v>187</v>
      </c>
      <c r="D62" s="21"/>
      <c r="E62" s="21"/>
      <c r="F62" s="21"/>
    </row>
    <row r="63" customFormat="false" ht="15" hidden="false" customHeight="true" outlineLevel="0" collapsed="false">
      <c r="A63" s="8" t="s">
        <v>188</v>
      </c>
      <c r="B63" s="27" t="n">
        <f aca="false">$G$40</f>
        <v>125</v>
      </c>
      <c r="C63" s="21" t="s">
        <v>189</v>
      </c>
      <c r="D63" s="21"/>
      <c r="E63" s="21"/>
      <c r="F63" s="21"/>
    </row>
    <row r="64" customFormat="false" ht="15" hidden="false" customHeight="false" outlineLevel="0" collapsed="false">
      <c r="A64" s="8" t="s">
        <v>144</v>
      </c>
      <c r="B64" s="20" t="n">
        <f aca="false">$I$40</f>
        <v>0</v>
      </c>
      <c r="C64" s="21"/>
      <c r="D64" s="21"/>
      <c r="E64" s="21"/>
      <c r="F64" s="21"/>
    </row>
    <row r="65" customFormat="false" ht="15" hidden="false" customHeight="false" outlineLevel="0" collapsed="false">
      <c r="A65" s="8" t="s">
        <v>190</v>
      </c>
      <c r="B65" s="33" t="n">
        <f aca="false">$B$52</f>
        <v>84179.7333333334</v>
      </c>
      <c r="C65" s="21"/>
      <c r="D65" s="21"/>
      <c r="E65" s="21"/>
      <c r="F65" s="21"/>
    </row>
    <row r="66" customFormat="false" ht="15" hidden="false" customHeight="true" outlineLevel="0" collapsed="false">
      <c r="A66" s="8" t="s">
        <v>191</v>
      </c>
      <c r="B66" s="33" t="n">
        <f aca="false">$C$52</f>
        <v>80451.137254902</v>
      </c>
      <c r="C66" s="21" t="s">
        <v>192</v>
      </c>
      <c r="D66" s="21"/>
      <c r="E66" s="21"/>
      <c r="F66" s="21"/>
    </row>
    <row r="67" customFormat="false" ht="15" hidden="false" customHeight="false" outlineLevel="0" collapsed="false">
      <c r="A67" s="8" t="s">
        <v>167</v>
      </c>
      <c r="B67" s="20" t="n">
        <f aca="false">$D$52</f>
        <v>-0.0442932750055998</v>
      </c>
      <c r="C67" s="21"/>
      <c r="D67" s="21"/>
      <c r="E67" s="21"/>
      <c r="F67" s="21"/>
    </row>
    <row r="68" customFormat="false" ht="15" hidden="false" customHeight="true" outlineLevel="0" collapsed="false">
      <c r="A68" s="8" t="s">
        <v>193</v>
      </c>
      <c r="B68" s="33" t="n">
        <f aca="false">$B$66/$B$58</f>
        <v>341.760408345835</v>
      </c>
      <c r="C68" s="21" t="s">
        <v>194</v>
      </c>
      <c r="D68" s="21"/>
      <c r="E68" s="21"/>
      <c r="F68" s="21"/>
    </row>
    <row r="69" customFormat="false" ht="15" hidden="false" customHeight="true" outlineLevel="0" collapsed="false">
      <c r="A69" s="8" t="s">
        <v>195</v>
      </c>
      <c r="B69" s="33" t="n">
        <f aca="false">$B$66/$B$56</f>
        <v>314.262254901961</v>
      </c>
      <c r="C69" s="21" t="s">
        <v>196</v>
      </c>
      <c r="D69" s="21"/>
      <c r="E69" s="21"/>
      <c r="F69" s="21"/>
    </row>
  </sheetData>
  <mergeCells count="19">
    <mergeCell ref="A12:F12"/>
    <mergeCell ref="A28:C28"/>
    <mergeCell ref="A30:G30"/>
    <mergeCell ref="A42:I42"/>
    <mergeCell ref="A53:D53"/>
    <mergeCell ref="C56:F56"/>
    <mergeCell ref="C57:F57"/>
    <mergeCell ref="C58:F58"/>
    <mergeCell ref="C59:F59"/>
    <mergeCell ref="C60:F60"/>
    <mergeCell ref="C61:F61"/>
    <mergeCell ref="C62:F62"/>
    <mergeCell ref="C63:F63"/>
    <mergeCell ref="C64:F64"/>
    <mergeCell ref="C65:F65"/>
    <mergeCell ref="C66:F66"/>
    <mergeCell ref="C67:F67"/>
    <mergeCell ref="C68:F68"/>
    <mergeCell ref="C69:F6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7.89453125" defaultRowHeight="15" customHeight="false" zeroHeight="false" outlineLevelRow="0" outlineLevelCol="0"/>
  <cols>
    <col collapsed="false" customWidth="true" hidden="false" outlineLevel="0" max="1" min="1" style="1" width="23.66"/>
    <col collapsed="false" customWidth="true" hidden="false" outlineLevel="0" max="5" min="2" style="1" width="11.83"/>
    <col collapsed="false" customWidth="true" hidden="false" outlineLevel="0" max="6" min="6" style="1" width="10.92"/>
    <col collapsed="false" customWidth="true" hidden="false" outlineLevel="0" max="7" min="7" style="1" width="12.74"/>
    <col collapsed="false" customWidth="true" hidden="false" outlineLevel="0" max="9" min="8" style="1" width="10.92"/>
    <col collapsed="false" customWidth="true" hidden="false" outlineLevel="0" max="10" min="10" style="1" width="11.83"/>
    <col collapsed="false" customWidth="true" hidden="false" outlineLevel="0" max="11" min="11" style="1" width="10.92"/>
    <col collapsed="false" customWidth="true" hidden="false" outlineLevel="0" max="12" min="12" style="1" width="9.1"/>
    <col collapsed="false" customWidth="true" hidden="false" outlineLevel="0" max="13" min="13" style="1" width="29.11"/>
  </cols>
  <sheetData>
    <row r="1" customFormat="false" ht="17.15" hidden="false" customHeight="false" outlineLevel="0" collapsed="false">
      <c r="A1" s="2" t="s">
        <v>197</v>
      </c>
    </row>
    <row r="2" customFormat="false" ht="15" hidden="false" customHeight="false" outlineLevel="0" collapsed="false">
      <c r="A2" s="6" t="s">
        <v>198</v>
      </c>
    </row>
    <row r="4" customFormat="false" ht="15" hidden="false" customHeight="false" outlineLevel="0" collapsed="false">
      <c r="A4" s="3" t="s">
        <v>199</v>
      </c>
    </row>
    <row r="5" customFormat="false" ht="28.35" hidden="false" customHeight="false" outlineLevel="0" collapsed="false">
      <c r="A5" s="7" t="s">
        <v>104</v>
      </c>
      <c r="B5" s="7" t="s">
        <v>200</v>
      </c>
      <c r="C5" s="7" t="s">
        <v>201</v>
      </c>
      <c r="D5" s="7" t="s">
        <v>202</v>
      </c>
      <c r="E5" s="7" t="s">
        <v>203</v>
      </c>
      <c r="F5" s="7" t="s">
        <v>204</v>
      </c>
      <c r="G5" s="7" t="s">
        <v>205</v>
      </c>
    </row>
    <row r="6" customFormat="false" ht="15" hidden="false" customHeight="true" outlineLevel="0" collapsed="false">
      <c r="A6" s="8" t="s">
        <v>206</v>
      </c>
      <c r="B6" s="22" t="n">
        <v>29.35520882</v>
      </c>
      <c r="C6" s="22" t="n">
        <v>31</v>
      </c>
      <c r="D6" s="20" t="n">
        <f aca="false">$C6/$C$12</f>
        <v>0.107266435986159</v>
      </c>
      <c r="E6" s="20" t="n">
        <f aca="false">(SUM($C$6:$C6)-SUM($B$6:$B6))/SUM($B$6:$B6)</f>
        <v>0.0560306414471624</v>
      </c>
      <c r="F6" s="34" t="str">
        <f aca="false">"±"&amp;TEXT('01参数'!$C$4,"0%")</f>
        <v>±15%</v>
      </c>
      <c r="G6" s="13" t="s">
        <v>207</v>
      </c>
    </row>
    <row r="7" customFormat="false" ht="15" hidden="false" customHeight="false" outlineLevel="0" collapsed="false">
      <c r="A7" s="8" t="s">
        <v>208</v>
      </c>
      <c r="B7" s="22" t="n">
        <v>32.290729702</v>
      </c>
      <c r="C7" s="22" t="n">
        <v>31</v>
      </c>
      <c r="D7" s="20" t="n">
        <f aca="false">$C7/$C$12</f>
        <v>0.107266435986159</v>
      </c>
      <c r="E7" s="20" t="n">
        <f aca="false">(SUM($C$6:$C7)-SUM($B$6:$B7))/SUM($B$6:$B7)</f>
        <v>0.00574346804491657</v>
      </c>
      <c r="F7" s="34"/>
      <c r="G7" s="34"/>
    </row>
    <row r="8" customFormat="false" ht="15" hidden="false" customHeight="false" outlineLevel="0" collapsed="false">
      <c r="A8" s="8" t="s">
        <v>209</v>
      </c>
      <c r="B8" s="22" t="n">
        <v>41.097292348</v>
      </c>
      <c r="C8" s="22" t="n">
        <v>40</v>
      </c>
      <c r="D8" s="20" t="n">
        <f aca="false">$C8/$C$12</f>
        <v>0.13840830449827</v>
      </c>
      <c r="E8" s="20" t="n">
        <f aca="false">(SUM($C$6:$C8)-SUM($B$6:$B8))/SUM($B$6:$B8)</f>
        <v>-0.00723386702663076</v>
      </c>
      <c r="F8" s="34"/>
      <c r="G8" s="34"/>
    </row>
    <row r="9" customFormat="false" ht="15" hidden="false" customHeight="false" outlineLevel="0" collapsed="false">
      <c r="A9" s="8" t="s">
        <v>210</v>
      </c>
      <c r="B9" s="22" t="n">
        <v>102.74323087</v>
      </c>
      <c r="C9" s="22" t="n">
        <v>105</v>
      </c>
      <c r="D9" s="20" t="n">
        <f aca="false">$C9/$C$12</f>
        <v>0.363321799307959</v>
      </c>
      <c r="E9" s="20" t="n">
        <f aca="false">(SUM($C$6:$C9)-SUM($B$6:$B9))/SUM($B$6:$B9)</f>
        <v>0.00736563492885996</v>
      </c>
      <c r="F9" s="34"/>
      <c r="G9" s="34"/>
    </row>
    <row r="10" customFormat="false" ht="15" hidden="false" customHeight="false" outlineLevel="0" collapsed="false">
      <c r="A10" s="8" t="s">
        <v>211</v>
      </c>
      <c r="B10" s="22" t="n">
        <v>58.71041764</v>
      </c>
      <c r="C10" s="22" t="n">
        <v>55</v>
      </c>
      <c r="D10" s="20" t="n">
        <f aca="false">$C10/$C$12</f>
        <v>0.190311418685121</v>
      </c>
      <c r="E10" s="20" t="n">
        <f aca="false">(SUM($C$6:$C10)-SUM($B$6:$B10))/SUM($B$6:$B10)</f>
        <v>-0.00831531161592648</v>
      </c>
      <c r="F10" s="34"/>
      <c r="G10" s="34"/>
    </row>
    <row r="11" customFormat="false" ht="15" hidden="false" customHeight="false" outlineLevel="0" collapsed="false">
      <c r="A11" s="8" t="s">
        <v>212</v>
      </c>
      <c r="B11" s="22" t="n">
        <v>29.35520882</v>
      </c>
      <c r="C11" s="22" t="n">
        <v>27</v>
      </c>
      <c r="D11" s="20" t="n">
        <f aca="false">$C11/$C$12</f>
        <v>0.0934256055363322</v>
      </c>
      <c r="E11" s="20" t="n">
        <f aca="false">(SUM($C$6:$C11)-SUM($B$6:$B11))/SUM($B$6:$B11)</f>
        <v>-0.0155069181347422</v>
      </c>
      <c r="F11" s="34"/>
      <c r="G11" s="34"/>
    </row>
    <row r="12" customFormat="false" ht="15" hidden="false" customHeight="false" outlineLevel="0" collapsed="false">
      <c r="A12" s="23" t="s">
        <v>174</v>
      </c>
      <c r="B12" s="24" t="n">
        <f aca="false">SUM(B6:B11)</f>
        <v>293.5520882</v>
      </c>
      <c r="C12" s="24" t="n">
        <f aca="false">SUM(C6:C11)</f>
        <v>289</v>
      </c>
      <c r="D12" s="25" t="n">
        <f aca="false">SUM(D6:D11)</f>
        <v>1</v>
      </c>
      <c r="E12" s="25" t="n">
        <f aca="false">($C$12-$B$12)/$B$12</f>
        <v>-0.0155069181347422</v>
      </c>
      <c r="F12" s="34"/>
      <c r="G12" s="34"/>
    </row>
    <row r="15" customFormat="false" ht="15" hidden="false" customHeight="false" outlineLevel="0" collapsed="false">
      <c r="A15" s="3" t="s">
        <v>213</v>
      </c>
    </row>
    <row r="16" customFormat="false" ht="28.35" hidden="false" customHeight="false" outlineLevel="0" collapsed="false">
      <c r="A16" s="7" t="s">
        <v>214</v>
      </c>
      <c r="B16" s="7" t="s">
        <v>106</v>
      </c>
      <c r="C16" s="7" t="s">
        <v>107</v>
      </c>
      <c r="D16" s="7" t="s">
        <v>215</v>
      </c>
      <c r="E16" s="7" t="s">
        <v>216</v>
      </c>
      <c r="F16" s="7" t="s">
        <v>205</v>
      </c>
    </row>
    <row r="17" customFormat="false" ht="30" hidden="false" customHeight="true" outlineLevel="0" collapsed="false">
      <c r="A17" s="17" t="n">
        <v>328</v>
      </c>
      <c r="B17" s="17" t="n">
        <v>327</v>
      </c>
      <c r="C17" s="20" t="n">
        <f aca="false">($B$17-$A$17)/$A$17</f>
        <v>-0.00304878048780488</v>
      </c>
      <c r="D17" s="31" t="n">
        <f aca="false">$C$12*'01参数'!$C$19/$B$17</f>
        <v>7.07033639143731</v>
      </c>
      <c r="E17" s="34" t="str">
        <f aca="false">"≤"&amp;TEXT('01参数'!$C$9,"0.00")</f>
        <v>≤7.15</v>
      </c>
      <c r="F17" s="13" t="s">
        <v>217</v>
      </c>
    </row>
    <row r="19" customFormat="false" ht="15" hidden="false" customHeight="false" outlineLevel="0" collapsed="false">
      <c r="A19" s="3" t="s">
        <v>218</v>
      </c>
    </row>
    <row r="20" customFormat="false" ht="28.35" hidden="false" customHeight="false" outlineLevel="0" collapsed="false">
      <c r="A20" s="7" t="s">
        <v>104</v>
      </c>
      <c r="B20" s="7" t="s">
        <v>137</v>
      </c>
      <c r="C20" s="7" t="s">
        <v>138</v>
      </c>
      <c r="D20" s="7" t="s">
        <v>139</v>
      </c>
      <c r="E20" s="7" t="s">
        <v>140</v>
      </c>
      <c r="F20" s="7" t="s">
        <v>219</v>
      </c>
      <c r="G20" s="7" t="s">
        <v>220</v>
      </c>
      <c r="H20" s="7" t="s">
        <v>221</v>
      </c>
      <c r="I20" s="7" t="s">
        <v>222</v>
      </c>
      <c r="J20" s="7" t="s">
        <v>223</v>
      </c>
      <c r="K20" s="7" t="s">
        <v>204</v>
      </c>
      <c r="L20" s="7" t="s">
        <v>205</v>
      </c>
    </row>
    <row r="21" customFormat="false" ht="15" hidden="false" customHeight="true" outlineLevel="0" collapsed="false">
      <c r="A21" s="8" t="s">
        <v>206</v>
      </c>
      <c r="B21" s="26" t="s">
        <v>224</v>
      </c>
      <c r="C21" s="26" t="s">
        <v>225</v>
      </c>
      <c r="D21" s="26" t="s">
        <v>224</v>
      </c>
      <c r="E21" s="26" t="s">
        <v>225</v>
      </c>
      <c r="F21" s="17" t="n">
        <v>12</v>
      </c>
      <c r="G21" s="27" t="n">
        <f aca="false">SUM($F$21:$F21)</f>
        <v>12</v>
      </c>
      <c r="H21" s="17" t="n">
        <v>12</v>
      </c>
      <c r="I21" s="27" t="n">
        <f aca="false">SUM($H$21:$H21)</f>
        <v>12</v>
      </c>
      <c r="J21" s="20" t="n">
        <f aca="false">($I21-$G21)/$G21</f>
        <v>0</v>
      </c>
      <c r="K21" s="34" t="str">
        <f aca="false">"±"&amp;TEXT('01参数'!$C$5,"0%")</f>
        <v>±15%</v>
      </c>
      <c r="L21" s="13" t="s">
        <v>226</v>
      </c>
    </row>
    <row r="22" customFormat="false" ht="15" hidden="false" customHeight="false" outlineLevel="0" collapsed="false">
      <c r="A22" s="8" t="s">
        <v>208</v>
      </c>
      <c r="B22" s="26" t="s">
        <v>227</v>
      </c>
      <c r="C22" s="26" t="s">
        <v>228</v>
      </c>
      <c r="D22" s="26" t="s">
        <v>227</v>
      </c>
      <c r="E22" s="26" t="s">
        <v>229</v>
      </c>
      <c r="F22" s="17" t="n">
        <v>17</v>
      </c>
      <c r="G22" s="27" t="n">
        <f aca="false">SUM($F$21:$F22)</f>
        <v>29</v>
      </c>
      <c r="H22" s="17" t="n">
        <v>19</v>
      </c>
      <c r="I22" s="27" t="n">
        <f aca="false">SUM($H$21:$H22)</f>
        <v>31</v>
      </c>
      <c r="J22" s="20" t="n">
        <f aca="false">($I22-$G22)/$G22</f>
        <v>0.0689655172413793</v>
      </c>
      <c r="K22" s="34"/>
      <c r="L22" s="34"/>
    </row>
    <row r="23" customFormat="false" ht="15" hidden="false" customHeight="false" outlineLevel="0" collapsed="false">
      <c r="A23" s="8" t="s">
        <v>209</v>
      </c>
      <c r="B23" s="26" t="s">
        <v>230</v>
      </c>
      <c r="C23" s="26" t="s">
        <v>231</v>
      </c>
      <c r="D23" s="26" t="s">
        <v>232</v>
      </c>
      <c r="E23" s="26" t="s">
        <v>233</v>
      </c>
      <c r="F23" s="17" t="n">
        <v>21</v>
      </c>
      <c r="G23" s="27" t="n">
        <f aca="false">SUM($F$21:$F23)</f>
        <v>50</v>
      </c>
      <c r="H23" s="17" t="n">
        <v>24</v>
      </c>
      <c r="I23" s="27" t="n">
        <f aca="false">SUM($H$21:$H23)</f>
        <v>55</v>
      </c>
      <c r="J23" s="20" t="n">
        <f aca="false">($I23-$G23)/$G23</f>
        <v>0.1</v>
      </c>
      <c r="K23" s="34"/>
      <c r="L23" s="34"/>
    </row>
    <row r="24" customFormat="false" ht="15" hidden="false" customHeight="false" outlineLevel="0" collapsed="false">
      <c r="A24" s="8" t="s">
        <v>210</v>
      </c>
      <c r="B24" s="26" t="s">
        <v>234</v>
      </c>
      <c r="C24" s="26" t="s">
        <v>235</v>
      </c>
      <c r="D24" s="26" t="s">
        <v>236</v>
      </c>
      <c r="E24" s="26" t="s">
        <v>237</v>
      </c>
      <c r="F24" s="17" t="n">
        <v>26</v>
      </c>
      <c r="G24" s="27" t="n">
        <f aca="false">SUM($F$21:$F24)</f>
        <v>76</v>
      </c>
      <c r="H24" s="17" t="n">
        <v>28</v>
      </c>
      <c r="I24" s="27" t="n">
        <f aca="false">SUM($H$21:$H24)</f>
        <v>83</v>
      </c>
      <c r="J24" s="20" t="n">
        <f aca="false">($I24-$G24)/$G24</f>
        <v>0.0921052631578947</v>
      </c>
      <c r="K24" s="34"/>
      <c r="L24" s="34"/>
    </row>
    <row r="25" customFormat="false" ht="15" hidden="false" customHeight="false" outlineLevel="0" collapsed="false">
      <c r="A25" s="8" t="s">
        <v>211</v>
      </c>
      <c r="B25" s="26" t="s">
        <v>238</v>
      </c>
      <c r="C25" s="26" t="s">
        <v>239</v>
      </c>
      <c r="D25" s="26" t="s">
        <v>240</v>
      </c>
      <c r="E25" s="26" t="s">
        <v>241</v>
      </c>
      <c r="F25" s="17" t="n">
        <v>30</v>
      </c>
      <c r="G25" s="27" t="n">
        <f aca="false">SUM($F$21:$F25)</f>
        <v>106</v>
      </c>
      <c r="H25" s="17" t="n">
        <v>29</v>
      </c>
      <c r="I25" s="27" t="n">
        <f aca="false">SUM($H$21:$H25)</f>
        <v>112</v>
      </c>
      <c r="J25" s="20" t="n">
        <f aca="false">($I25-$G25)/$G25</f>
        <v>0.0566037735849057</v>
      </c>
      <c r="K25" s="34"/>
      <c r="L25" s="34"/>
    </row>
    <row r="26" customFormat="false" ht="15" hidden="false" customHeight="false" outlineLevel="0" collapsed="false">
      <c r="A26" s="8" t="s">
        <v>212</v>
      </c>
      <c r="B26" s="26" t="s">
        <v>242</v>
      </c>
      <c r="C26" s="26" t="s">
        <v>243</v>
      </c>
      <c r="D26" s="26" t="s">
        <v>244</v>
      </c>
      <c r="E26" s="26" t="s">
        <v>245</v>
      </c>
      <c r="F26" s="17" t="n">
        <v>15</v>
      </c>
      <c r="G26" s="27" t="n">
        <f aca="false">SUM($F$21:$F26)</f>
        <v>121</v>
      </c>
      <c r="H26" s="17" t="n">
        <v>18</v>
      </c>
      <c r="I26" s="27" t="n">
        <f aca="false">SUM($H$21:$H26)</f>
        <v>130</v>
      </c>
      <c r="J26" s="20" t="n">
        <f aca="false">($I26-$G26)/$G26</f>
        <v>0.0743801652892562</v>
      </c>
      <c r="K26" s="34"/>
      <c r="L26" s="34"/>
    </row>
    <row r="27" customFormat="false" ht="15" hidden="false" customHeight="false" outlineLevel="0" collapsed="false">
      <c r="A27" s="23" t="s">
        <v>174</v>
      </c>
      <c r="F27" s="28" t="n">
        <f aca="false">SUM(F21:F26)</f>
        <v>121</v>
      </c>
      <c r="G27" s="28" t="n">
        <f aca="false">$G$26</f>
        <v>121</v>
      </c>
      <c r="H27" s="28" t="n">
        <f aca="false">SUM(H21:H26)</f>
        <v>130</v>
      </c>
      <c r="I27" s="28" t="n">
        <f aca="false">$I$26</f>
        <v>130</v>
      </c>
      <c r="J27" s="25" t="n">
        <f aca="false">($I$27-$G$27)/$G$27</f>
        <v>0.0743801652892562</v>
      </c>
      <c r="K27" s="34"/>
      <c r="L27" s="34"/>
    </row>
    <row r="28" customFormat="false" ht="15" hidden="false" customHeight="false" outlineLevel="0" collapsed="false">
      <c r="A28" s="6" t="s">
        <v>246</v>
      </c>
    </row>
    <row r="30" customFormat="false" ht="15" hidden="false" customHeight="false" outlineLevel="0" collapsed="false">
      <c r="A30" s="3" t="s">
        <v>247</v>
      </c>
    </row>
    <row r="31" customFormat="false" ht="15" hidden="false" customHeight="false" outlineLevel="0" collapsed="false">
      <c r="A31" s="7" t="s">
        <v>104</v>
      </c>
      <c r="B31" s="7" t="s">
        <v>248</v>
      </c>
      <c r="C31" s="7" t="s">
        <v>166</v>
      </c>
      <c r="D31" s="7" t="s">
        <v>249</v>
      </c>
      <c r="E31" s="7" t="s">
        <v>204</v>
      </c>
      <c r="F31" s="7" t="s">
        <v>205</v>
      </c>
    </row>
    <row r="32" customFormat="false" ht="15" hidden="false" customHeight="true" outlineLevel="0" collapsed="false">
      <c r="A32" s="8" t="s">
        <v>206</v>
      </c>
      <c r="B32" s="29" t="n">
        <v>35226.250584</v>
      </c>
      <c r="C32" s="29" t="n">
        <v>37200</v>
      </c>
      <c r="D32" s="20" t="n">
        <f aca="false">(SUM($C$32:$C32)-SUM($B$32:$B32))/SUM($B$32:$B32)</f>
        <v>0.0560306414471624</v>
      </c>
      <c r="E32" s="34" t="str">
        <f aca="false">"±"&amp;TEXT('01参数'!$C$6,"0%")</f>
        <v>±15%</v>
      </c>
      <c r="F32" s="13" t="s">
        <v>250</v>
      </c>
    </row>
    <row r="33" customFormat="false" ht="15" hidden="false" customHeight="false" outlineLevel="0" collapsed="false">
      <c r="A33" s="8" t="s">
        <v>208</v>
      </c>
      <c r="B33" s="29" t="n">
        <v>38748.8756424</v>
      </c>
      <c r="C33" s="29" t="n">
        <v>38800</v>
      </c>
      <c r="D33" s="20" t="n">
        <f aca="false">(SUM($C$32:$C33)-SUM($B$32:$B33))/SUM($B$32:$B33)</f>
        <v>0.0273723598308288</v>
      </c>
      <c r="E33" s="34"/>
      <c r="F33" s="34"/>
    </row>
    <row r="34" customFormat="false" ht="15" hidden="false" customHeight="false" outlineLevel="0" collapsed="false">
      <c r="A34" s="8" t="s">
        <v>209</v>
      </c>
      <c r="B34" s="29" t="n">
        <v>49316.7508176</v>
      </c>
      <c r="C34" s="29" t="n">
        <v>53500</v>
      </c>
      <c r="D34" s="20" t="n">
        <f aca="false">(SUM($C$32:$C34)-SUM($B$32:$B34))/SUM($B$32:$B34)</f>
        <v>0.0503530573533605</v>
      </c>
      <c r="E34" s="34"/>
      <c r="F34" s="34"/>
    </row>
    <row r="35" customFormat="false" ht="15" hidden="false" customHeight="false" outlineLevel="0" collapsed="false">
      <c r="A35" s="8" t="s">
        <v>210</v>
      </c>
      <c r="B35" s="29" t="n">
        <v>123291.877044</v>
      </c>
      <c r="C35" s="29" t="n">
        <v>131900</v>
      </c>
      <c r="D35" s="20" t="n">
        <f aca="false">(SUM($C$32:$C35)-SUM($B$32:$B35))/SUM($B$32:$B35)</f>
        <v>0.060086058657021</v>
      </c>
      <c r="E35" s="34"/>
      <c r="F35" s="34"/>
    </row>
    <row r="36" customFormat="false" ht="15" hidden="false" customHeight="false" outlineLevel="0" collapsed="false">
      <c r="A36" s="8" t="s">
        <v>211</v>
      </c>
      <c r="B36" s="29" t="n">
        <v>70452.501168</v>
      </c>
      <c r="C36" s="29" t="n">
        <v>72000</v>
      </c>
      <c r="D36" s="20" t="n">
        <f aca="false">(SUM($C$32:$C36)-SUM($B$32:$B36))/SUM($B$32:$B36)</f>
        <v>0.0516147427075388</v>
      </c>
      <c r="E36" s="34"/>
      <c r="F36" s="34"/>
    </row>
    <row r="37" customFormat="false" ht="15" hidden="false" customHeight="false" outlineLevel="0" collapsed="false">
      <c r="A37" s="8" t="s">
        <v>212</v>
      </c>
      <c r="B37" s="29" t="n">
        <v>35226.250584</v>
      </c>
      <c r="C37" s="29" t="n">
        <v>36000</v>
      </c>
      <c r="D37" s="20" t="n">
        <f aca="false">(SUM($C$32:$C37)-SUM($B$32:$B37))/SUM($B$32:$B37)</f>
        <v>0.0486497821252199</v>
      </c>
      <c r="E37" s="34"/>
      <c r="F37" s="34"/>
    </row>
    <row r="38" customFormat="false" ht="15" hidden="false" customHeight="false" outlineLevel="0" collapsed="false">
      <c r="A38" s="23" t="s">
        <v>174</v>
      </c>
      <c r="B38" s="30" t="n">
        <f aca="false">SUM(B32:B37)</f>
        <v>352262.50584</v>
      </c>
      <c r="C38" s="30" t="n">
        <f aca="false">SUM(C32:C37)</f>
        <v>369400</v>
      </c>
      <c r="D38" s="25" t="n">
        <f aca="false">($C$38-$B$38)/$B$38</f>
        <v>0.0486497821252199</v>
      </c>
      <c r="E38" s="34"/>
      <c r="F38" s="34"/>
    </row>
    <row r="39" customFormat="false" ht="15" hidden="false" customHeight="false" outlineLevel="0" collapsed="false">
      <c r="A39" s="6" t="s">
        <v>251</v>
      </c>
    </row>
    <row r="41" customFormat="false" ht="15" hidden="false" customHeight="false" outlineLevel="0" collapsed="false">
      <c r="A41" s="3" t="s">
        <v>252</v>
      </c>
    </row>
    <row r="42" customFormat="false" ht="26.1" hidden="false" customHeight="false" outlineLevel="0" collapsed="false">
      <c r="A42" s="7" t="s">
        <v>253</v>
      </c>
      <c r="B42" s="7" t="s">
        <v>254</v>
      </c>
      <c r="C42" s="7" t="s">
        <v>255</v>
      </c>
      <c r="D42" s="7" t="s">
        <v>256</v>
      </c>
      <c r="E42" s="7" t="s">
        <v>257</v>
      </c>
      <c r="F42" s="7" t="s">
        <v>258</v>
      </c>
      <c r="G42" s="7" t="s">
        <v>259</v>
      </c>
      <c r="H42" s="7" t="s">
        <v>260</v>
      </c>
      <c r="I42" s="7" t="s">
        <v>261</v>
      </c>
      <c r="J42" s="7" t="s">
        <v>262</v>
      </c>
      <c r="K42" s="7" t="s">
        <v>263</v>
      </c>
      <c r="L42" s="7" t="s">
        <v>264</v>
      </c>
      <c r="M42" s="7" t="s">
        <v>205</v>
      </c>
    </row>
    <row r="43" customFormat="false" ht="15" hidden="false" customHeight="true" outlineLevel="0" collapsed="false">
      <c r="A43" s="8" t="s">
        <v>265</v>
      </c>
      <c r="B43" s="17" t="n">
        <v>2</v>
      </c>
      <c r="C43" s="17" t="n">
        <v>15</v>
      </c>
      <c r="D43" s="17" t="n">
        <v>17</v>
      </c>
      <c r="E43" s="17" t="n">
        <v>18</v>
      </c>
      <c r="F43" s="27" t="n">
        <f aca="false">SUM($B43:$E43)</f>
        <v>52</v>
      </c>
      <c r="G43" s="17" t="n">
        <v>52</v>
      </c>
      <c r="H43" s="20" t="n">
        <f aca="false">$G43/$F43</f>
        <v>1</v>
      </c>
      <c r="I43" s="35" t="n">
        <f aca="false">$B43*'01参数'!$C$14+$C43*'01参数'!$C$15+$D43*'01参数'!$C$16+$E43*'01参数'!$C$17</f>
        <v>102</v>
      </c>
      <c r="J43" s="32" t="n">
        <f aca="false">$I43/$B$17</f>
        <v>0.311926605504587</v>
      </c>
      <c r="K43" s="20" t="n">
        <f aca="false">$I$43/$I$45</f>
        <v>0.784615384615385</v>
      </c>
      <c r="L43" s="34" t="str">
        <f aca="false">"≥"&amp;TEXT('01参数'!$C$8,"0%")</f>
        <v>≥75%</v>
      </c>
      <c r="M43" s="13" t="s">
        <v>266</v>
      </c>
    </row>
    <row r="44" customFormat="false" ht="15" hidden="false" customHeight="false" outlineLevel="0" collapsed="false">
      <c r="A44" s="8" t="s">
        <v>267</v>
      </c>
      <c r="B44" s="17" t="n">
        <v>0</v>
      </c>
      <c r="C44" s="17" t="n">
        <v>0</v>
      </c>
      <c r="D44" s="17" t="n">
        <v>21</v>
      </c>
      <c r="E44" s="17" t="n">
        <v>14</v>
      </c>
      <c r="F44" s="27" t="n">
        <f aca="false">SUM($B44:$E44)</f>
        <v>35</v>
      </c>
      <c r="G44" s="17" t="n">
        <v>35</v>
      </c>
      <c r="H44" s="20" t="n">
        <f aca="false">$G44/$F44</f>
        <v>1</v>
      </c>
      <c r="I44" s="35" t="n">
        <f aca="false">$B44*'01参数'!$C$14+$C44*'01参数'!$C$15+$D44*'01参数'!$C$16+$E44*'01参数'!$C$17</f>
        <v>28</v>
      </c>
      <c r="J44" s="32" t="n">
        <f aca="false">$I44/$B$17</f>
        <v>0.0856269113149847</v>
      </c>
      <c r="K44" s="12"/>
      <c r="L44" s="34"/>
      <c r="M44" s="34"/>
    </row>
    <row r="45" customFormat="false" ht="15" hidden="false" customHeight="false" outlineLevel="0" collapsed="false">
      <c r="A45" s="23" t="s">
        <v>174</v>
      </c>
      <c r="B45" s="28" t="n">
        <f aca="false">SUM(B43:B44)</f>
        <v>2</v>
      </c>
      <c r="C45" s="28" t="n">
        <f aca="false">SUM(C43:C44)</f>
        <v>15</v>
      </c>
      <c r="D45" s="28" t="n">
        <f aca="false">SUM(D43:D44)</f>
        <v>38</v>
      </c>
      <c r="E45" s="28" t="n">
        <f aca="false">SUM(E43:E44)</f>
        <v>32</v>
      </c>
      <c r="F45" s="28" t="n">
        <f aca="false">SUM($B$45:$E$45)</f>
        <v>87</v>
      </c>
      <c r="G45" s="28" t="n">
        <f aca="false">SUM(G43:G44)</f>
        <v>87</v>
      </c>
      <c r="H45" s="25" t="n">
        <f aca="false">$G$45/$F$45</f>
        <v>1</v>
      </c>
      <c r="I45" s="36" t="n">
        <f aca="false">$B$45*'01参数'!$C$14+$C$45*'01参数'!$C$15+$D$45*'01参数'!$C$16+$E$45*'01参数'!$C$17</f>
        <v>130</v>
      </c>
      <c r="J45" s="37" t="n">
        <f aca="false">$I$45/$B$17</f>
        <v>0.397553516819572</v>
      </c>
      <c r="K45" s="38"/>
      <c r="L45" s="34"/>
      <c r="M45" s="34"/>
    </row>
    <row r="46" customFormat="false" ht="15" hidden="false" customHeight="false" outlineLevel="0" collapsed="false">
      <c r="A46" s="6" t="s">
        <v>268</v>
      </c>
    </row>
    <row r="48" customFormat="false" ht="15" hidden="false" customHeight="false" outlineLevel="0" collapsed="false">
      <c r="A48" s="3" t="s">
        <v>269</v>
      </c>
    </row>
    <row r="49" customFormat="false" ht="28.35" hidden="false" customHeight="false" outlineLevel="0" collapsed="false">
      <c r="A49" s="7" t="s">
        <v>255</v>
      </c>
      <c r="B49" s="7" t="s">
        <v>256</v>
      </c>
      <c r="C49" s="7" t="s">
        <v>270</v>
      </c>
      <c r="D49" s="7" t="s">
        <v>271</v>
      </c>
      <c r="E49" s="7" t="s">
        <v>272</v>
      </c>
      <c r="F49" s="7" t="s">
        <v>273</v>
      </c>
      <c r="G49" s="7" t="s">
        <v>274</v>
      </c>
      <c r="H49" s="7" t="s">
        <v>216</v>
      </c>
      <c r="I49" s="7" t="s">
        <v>205</v>
      </c>
    </row>
    <row r="50" customFormat="false" ht="30" hidden="false" customHeight="true" outlineLevel="0" collapsed="false">
      <c r="A50" s="17" t="n">
        <v>1</v>
      </c>
      <c r="B50" s="17" t="n">
        <v>11</v>
      </c>
      <c r="C50" s="17" t="n">
        <v>13</v>
      </c>
      <c r="D50" s="27" t="n">
        <f aca="false">SUM($A$50:$C$50)</f>
        <v>25</v>
      </c>
      <c r="E50" s="17" t="n">
        <v>25</v>
      </c>
      <c r="F50" s="17" t="n">
        <v>33</v>
      </c>
      <c r="G50" s="32" t="n">
        <f aca="false">$D$50/$F$50</f>
        <v>0.757575757575758</v>
      </c>
      <c r="H50" s="34" t="str">
        <f aca="false">"≥"&amp;TEXT('01参数'!$C$10,"0.00")</f>
        <v>≥0.75</v>
      </c>
      <c r="I50" s="13" t="s">
        <v>275</v>
      </c>
    </row>
    <row r="52" customFormat="false" ht="15" hidden="false" customHeight="false" outlineLevel="0" collapsed="false">
      <c r="A52" s="3" t="s">
        <v>276</v>
      </c>
    </row>
    <row r="53" customFormat="false" ht="15" hidden="false" customHeight="false" outlineLevel="0" collapsed="false">
      <c r="A53" s="8" t="s">
        <v>177</v>
      </c>
      <c r="B53" s="27" t="n">
        <f aca="false">$B$17</f>
        <v>327</v>
      </c>
      <c r="C53" s="21"/>
      <c r="D53" s="21"/>
      <c r="E53" s="21"/>
    </row>
    <row r="54" customFormat="false" ht="15" hidden="false" customHeight="false" outlineLevel="0" collapsed="false">
      <c r="A54" s="8" t="s">
        <v>277</v>
      </c>
      <c r="B54" s="31" t="n">
        <f aca="false">$B$12</f>
        <v>293.5520882</v>
      </c>
      <c r="C54" s="21"/>
      <c r="D54" s="21"/>
      <c r="E54" s="21"/>
    </row>
    <row r="55" customFormat="false" ht="15" hidden="false" customHeight="false" outlineLevel="0" collapsed="false">
      <c r="A55" s="8" t="s">
        <v>180</v>
      </c>
      <c r="B55" s="31" t="n">
        <f aca="false">$C$12</f>
        <v>289</v>
      </c>
      <c r="C55" s="21"/>
      <c r="D55" s="21"/>
      <c r="E55" s="21"/>
    </row>
    <row r="56" customFormat="false" ht="15" hidden="false" customHeight="false" outlineLevel="0" collapsed="false">
      <c r="A56" s="8" t="s">
        <v>122</v>
      </c>
      <c r="B56" s="20" t="n">
        <f aca="false">$E$12</f>
        <v>-0.0155069181347422</v>
      </c>
      <c r="C56" s="21"/>
      <c r="D56" s="21"/>
      <c r="E56" s="21"/>
    </row>
    <row r="57" customFormat="false" ht="15" hidden="false" customHeight="false" outlineLevel="0" collapsed="false">
      <c r="A57" s="8" t="s">
        <v>107</v>
      </c>
      <c r="B57" s="20" t="n">
        <f aca="false">$C$17</f>
        <v>-0.00304878048780488</v>
      </c>
      <c r="C57" s="21"/>
      <c r="D57" s="21"/>
      <c r="E57" s="21"/>
    </row>
    <row r="58" customFormat="false" ht="15" hidden="false" customHeight="true" outlineLevel="0" collapsed="false">
      <c r="A58" s="8" t="s">
        <v>182</v>
      </c>
      <c r="B58" s="32" t="n">
        <f aca="false">$B$53/$B$55</f>
        <v>1.13148788927336</v>
      </c>
      <c r="C58" s="21" t="s">
        <v>183</v>
      </c>
      <c r="D58" s="21"/>
      <c r="E58" s="21"/>
    </row>
    <row r="59" customFormat="false" ht="15" hidden="false" customHeight="false" outlineLevel="0" collapsed="false">
      <c r="A59" s="8" t="s">
        <v>184</v>
      </c>
      <c r="B59" s="31" t="n">
        <f aca="false">$D$17</f>
        <v>7.07033639143731</v>
      </c>
      <c r="C59" s="21"/>
      <c r="D59" s="21"/>
      <c r="E59" s="21"/>
    </row>
    <row r="60" customFormat="false" ht="15" hidden="false" customHeight="true" outlineLevel="0" collapsed="false">
      <c r="A60" s="8" t="s">
        <v>186</v>
      </c>
      <c r="B60" s="27" t="n">
        <f aca="false">$F$27</f>
        <v>121</v>
      </c>
      <c r="C60" s="21" t="s">
        <v>278</v>
      </c>
      <c r="D60" s="21"/>
      <c r="E60" s="21"/>
    </row>
    <row r="61" customFormat="false" ht="15" hidden="false" customHeight="true" outlineLevel="0" collapsed="false">
      <c r="A61" s="8" t="s">
        <v>188</v>
      </c>
      <c r="B61" s="27" t="n">
        <f aca="false">$H$27</f>
        <v>130</v>
      </c>
      <c r="C61" s="21" t="s">
        <v>278</v>
      </c>
      <c r="D61" s="21"/>
      <c r="E61" s="21"/>
    </row>
    <row r="62" customFormat="false" ht="15" hidden="false" customHeight="true" outlineLevel="0" collapsed="false">
      <c r="A62" s="8" t="s">
        <v>279</v>
      </c>
      <c r="B62" s="20" t="n">
        <f aca="false">$J$27</f>
        <v>0.0743801652892562</v>
      </c>
      <c r="C62" s="21" t="s">
        <v>280</v>
      </c>
      <c r="D62" s="21"/>
      <c r="E62" s="21"/>
    </row>
    <row r="63" customFormat="false" ht="15" hidden="false" customHeight="true" outlineLevel="0" collapsed="false">
      <c r="A63" s="8" t="s">
        <v>281</v>
      </c>
      <c r="B63" s="33" t="n">
        <f aca="false">$B$38</f>
        <v>352262.50584</v>
      </c>
      <c r="C63" s="21" t="s">
        <v>282</v>
      </c>
      <c r="D63" s="21"/>
      <c r="E63" s="21"/>
    </row>
    <row r="64" customFormat="false" ht="15" hidden="false" customHeight="false" outlineLevel="0" collapsed="false">
      <c r="A64" s="8" t="s">
        <v>191</v>
      </c>
      <c r="B64" s="33" t="n">
        <f aca="false">$C$38</f>
        <v>369400</v>
      </c>
      <c r="C64" s="21"/>
      <c r="D64" s="21"/>
      <c r="E64" s="21"/>
    </row>
    <row r="65" customFormat="false" ht="15" hidden="false" customHeight="false" outlineLevel="0" collapsed="false">
      <c r="A65" s="8" t="s">
        <v>283</v>
      </c>
      <c r="B65" s="20" t="n">
        <f aca="false">$D$38</f>
        <v>0.0486497821252199</v>
      </c>
      <c r="C65" s="21"/>
      <c r="D65" s="21"/>
      <c r="E65" s="21"/>
    </row>
    <row r="66" customFormat="false" ht="15" hidden="false" customHeight="false" outlineLevel="0" collapsed="false">
      <c r="A66" s="8" t="s">
        <v>193</v>
      </c>
      <c r="B66" s="33" t="n">
        <f aca="false">$B$64/$B$55</f>
        <v>1278.20069204152</v>
      </c>
      <c r="C66" s="21"/>
      <c r="D66" s="21"/>
      <c r="E66" s="21"/>
    </row>
    <row r="67" customFormat="false" ht="15" hidden="false" customHeight="false" outlineLevel="0" collapsed="false">
      <c r="A67" s="8" t="s">
        <v>195</v>
      </c>
      <c r="B67" s="33" t="n">
        <f aca="false">$B$64/$B$53</f>
        <v>1129.66360856269</v>
      </c>
      <c r="C67" s="21"/>
      <c r="D67" s="21"/>
      <c r="E67" s="21"/>
    </row>
    <row r="68" customFormat="false" ht="15" hidden="false" customHeight="true" outlineLevel="0" collapsed="false">
      <c r="A68" s="8" t="s">
        <v>284</v>
      </c>
      <c r="B68" s="32" t="n">
        <f aca="false">$J$45</f>
        <v>0.397553516819572</v>
      </c>
      <c r="C68" s="21" t="s">
        <v>285</v>
      </c>
      <c r="D68" s="21"/>
      <c r="E68" s="21"/>
    </row>
    <row r="69" customFormat="false" ht="15" hidden="false" customHeight="true" outlineLevel="0" collapsed="false">
      <c r="A69" s="8" t="s">
        <v>263</v>
      </c>
      <c r="B69" s="20" t="n">
        <f aca="false">$K$43</f>
        <v>0.784615384615385</v>
      </c>
      <c r="C69" s="21" t="s">
        <v>286</v>
      </c>
      <c r="D69" s="21"/>
      <c r="E69" s="21"/>
    </row>
    <row r="70" customFormat="false" ht="15" hidden="false" customHeight="false" outlineLevel="0" collapsed="false">
      <c r="A70" s="8" t="s">
        <v>287</v>
      </c>
      <c r="B70" s="32" t="n">
        <f aca="false">$G$50</f>
        <v>0.757575757575758</v>
      </c>
      <c r="C70" s="21"/>
      <c r="D70" s="21"/>
      <c r="E70" s="21"/>
    </row>
  </sheetData>
  <mergeCells count="26">
    <mergeCell ref="F6:F12"/>
    <mergeCell ref="G6:G12"/>
    <mergeCell ref="K21:K27"/>
    <mergeCell ref="L21:L27"/>
    <mergeCell ref="E32:E38"/>
    <mergeCell ref="F32:F38"/>
    <mergeCell ref="L43:L45"/>
    <mergeCell ref="M43:M45"/>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C68:E68"/>
    <mergeCell ref="C69:E69"/>
    <mergeCell ref="C70:E7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7.89453125" defaultRowHeight="15" customHeight="false" zeroHeight="false" outlineLevelRow="0" outlineLevelCol="0"/>
  <cols>
    <col collapsed="false" customWidth="true" hidden="false" outlineLevel="0" max="1" min="1" style="1" width="23.66"/>
    <col collapsed="false" customWidth="true" hidden="false" outlineLevel="0" max="2" min="2" style="1" width="10.92"/>
    <col collapsed="false" customWidth="true" hidden="false" outlineLevel="0" max="4" min="3" style="1" width="14.56"/>
    <col collapsed="false" customWidth="true" hidden="false" outlineLevel="0" max="5" min="5" style="1" width="52.77"/>
  </cols>
  <sheetData>
    <row r="1" customFormat="false" ht="15" hidden="false" customHeight="false" outlineLevel="0" collapsed="false">
      <c r="A1" s="2" t="s">
        <v>288</v>
      </c>
    </row>
    <row r="2" customFormat="false" ht="15" hidden="false" customHeight="false" outlineLevel="0" collapsed="false">
      <c r="A2" s="6" t="s">
        <v>289</v>
      </c>
    </row>
    <row r="4" customFormat="false" ht="15" hidden="false" customHeight="false" outlineLevel="0" collapsed="false">
      <c r="A4" s="7" t="s">
        <v>290</v>
      </c>
      <c r="B4" s="7" t="s">
        <v>291</v>
      </c>
      <c r="C4" s="7" t="s">
        <v>292</v>
      </c>
      <c r="D4" s="7" t="s">
        <v>293</v>
      </c>
      <c r="E4" s="7" t="s">
        <v>294</v>
      </c>
    </row>
    <row r="5" customFormat="false" ht="15.75" hidden="false" customHeight="true" outlineLevel="0" collapsed="false">
      <c r="A5" s="8" t="s">
        <v>295</v>
      </c>
      <c r="B5" s="12" t="s">
        <v>296</v>
      </c>
      <c r="C5" s="39" t="n">
        <f aca="false">'02项目1度量'!$B$56</f>
        <v>256</v>
      </c>
      <c r="D5" s="39" t="n">
        <f aca="false">'03项目2度量'!$B$53</f>
        <v>327</v>
      </c>
      <c r="E5" s="15" t="s">
        <v>297</v>
      </c>
    </row>
    <row r="6" customFormat="false" ht="15.75" hidden="false" customHeight="true" outlineLevel="0" collapsed="false">
      <c r="A6" s="8" t="s">
        <v>298</v>
      </c>
      <c r="B6" s="40" t="s">
        <v>299</v>
      </c>
      <c r="C6" s="41" t="n">
        <f aca="false">'02项目1度量'!$B$58</f>
        <v>235.402156862745</v>
      </c>
      <c r="D6" s="41" t="n">
        <f aca="false">'03项目2度量'!$B$55</f>
        <v>289</v>
      </c>
      <c r="E6" s="13" t="s">
        <v>300</v>
      </c>
    </row>
    <row r="7" customFormat="false" ht="27" hidden="false" customHeight="true" outlineLevel="0" collapsed="false">
      <c r="A7" s="8" t="s">
        <v>301</v>
      </c>
      <c r="B7" s="40" t="s">
        <v>302</v>
      </c>
      <c r="C7" s="39" t="n">
        <f aca="false">'02项目1度量'!$B$63</f>
        <v>125</v>
      </c>
      <c r="D7" s="39" t="n">
        <f aca="false">'03项目2度量'!$B$61</f>
        <v>130</v>
      </c>
      <c r="E7" s="15" t="s">
        <v>303</v>
      </c>
    </row>
    <row r="8" customFormat="false" ht="15.75" hidden="false" customHeight="true" outlineLevel="0" collapsed="false">
      <c r="A8" s="8" t="s">
        <v>304</v>
      </c>
      <c r="B8" s="40" t="s">
        <v>305</v>
      </c>
      <c r="C8" s="42" t="n">
        <f aca="false">'02项目1度量'!$B$65</f>
        <v>84179.7333333334</v>
      </c>
      <c r="D8" s="42" t="n">
        <f aca="false">'03项目2度量'!$B$63</f>
        <v>352262.50584</v>
      </c>
      <c r="E8" s="15" t="s">
        <v>306</v>
      </c>
    </row>
    <row r="9" customFormat="false" ht="15.75" hidden="false" customHeight="true" outlineLevel="0" collapsed="false">
      <c r="A9" s="8" t="s">
        <v>307</v>
      </c>
      <c r="B9" s="40" t="s">
        <v>305</v>
      </c>
      <c r="C9" s="42" t="n">
        <f aca="false">'02项目1度量'!$B$66</f>
        <v>80451.137254902</v>
      </c>
      <c r="D9" s="42" t="n">
        <f aca="false">'03项目2度量'!$B$64</f>
        <v>369400</v>
      </c>
      <c r="E9" s="13" t="s">
        <v>308</v>
      </c>
    </row>
    <row r="10" customFormat="false" ht="15.75" hidden="false" customHeight="true" outlineLevel="0" collapsed="false">
      <c r="A10" s="8" t="s">
        <v>309</v>
      </c>
      <c r="B10" s="12" t="s">
        <v>310</v>
      </c>
      <c r="C10" s="43" t="n">
        <f aca="false">'02项目1度量'!$B$60</f>
        <v>1.08750065594881</v>
      </c>
      <c r="D10" s="43" t="n">
        <f aca="false">'03项目2度量'!$B$58</f>
        <v>1.13148788927336</v>
      </c>
      <c r="E10" s="15" t="s">
        <v>311</v>
      </c>
    </row>
    <row r="11" customFormat="false" ht="27" hidden="false" customHeight="true" outlineLevel="0" collapsed="false">
      <c r="A11" s="8" t="s">
        <v>312</v>
      </c>
      <c r="B11" s="40" t="s">
        <v>313</v>
      </c>
      <c r="C11" s="41" t="n">
        <f aca="false">'02项目1度量'!$B$61</f>
        <v>7.35631740196078</v>
      </c>
      <c r="D11" s="41" t="n">
        <f aca="false">'03项目2度量'!$B$59</f>
        <v>7.07033639143731</v>
      </c>
      <c r="E11" s="15" t="s">
        <v>314</v>
      </c>
    </row>
    <row r="12" customFormat="false" ht="27" hidden="false" customHeight="true" outlineLevel="0" collapsed="false">
      <c r="A12" s="8" t="s">
        <v>315</v>
      </c>
      <c r="B12" s="40" t="s">
        <v>316</v>
      </c>
      <c r="C12" s="42" t="n">
        <f aca="false">'02项目1度量'!$B$68</f>
        <v>341.760408345835</v>
      </c>
      <c r="D12" s="42" t="n">
        <f aca="false">'03项目2度量'!$B$66</f>
        <v>1278.20069204152</v>
      </c>
      <c r="E12" s="13" t="s">
        <v>317</v>
      </c>
    </row>
    <row r="13" customFormat="false" ht="15.75" hidden="false" customHeight="true" outlineLevel="0" collapsed="false">
      <c r="A13" s="8" t="s">
        <v>318</v>
      </c>
      <c r="B13" s="40" t="s">
        <v>319</v>
      </c>
      <c r="C13" s="42" t="n">
        <f aca="false">'02项目1度量'!$B$69</f>
        <v>314.262254901961</v>
      </c>
      <c r="D13" s="42" t="n">
        <f aca="false">'03项目2度量'!$B$67</f>
        <v>1129.66360856269</v>
      </c>
      <c r="E13" s="13" t="s">
        <v>320</v>
      </c>
    </row>
    <row r="14" customFormat="false" ht="15.75" hidden="false" customHeight="true" outlineLevel="0" collapsed="false">
      <c r="A14" s="8" t="s">
        <v>122</v>
      </c>
      <c r="B14" s="12" t="s">
        <v>321</v>
      </c>
      <c r="C14" s="44" t="n">
        <f aca="false">'02项目1度量'!$B$59</f>
        <v>-0.0456669316375196</v>
      </c>
      <c r="D14" s="44" t="n">
        <f aca="false">'03项目2度量'!$B$56</f>
        <v>-0.0155069181347422</v>
      </c>
      <c r="E14" s="13" t="s">
        <v>322</v>
      </c>
    </row>
    <row r="15" customFormat="false" ht="27" hidden="false" customHeight="true" outlineLevel="0" collapsed="false">
      <c r="A15" s="8" t="s">
        <v>323</v>
      </c>
      <c r="B15" s="12" t="s">
        <v>321</v>
      </c>
      <c r="C15" s="44" t="n">
        <f aca="false">'02项目1度量'!$B$64</f>
        <v>0</v>
      </c>
      <c r="D15" s="44" t="n">
        <f aca="false">'03项目2度量'!$B$62</f>
        <v>0.0743801652892562</v>
      </c>
      <c r="E15" s="15" t="s">
        <v>324</v>
      </c>
    </row>
    <row r="16" customFormat="false" ht="15.75" hidden="false" customHeight="true" outlineLevel="0" collapsed="false">
      <c r="A16" s="8" t="s">
        <v>167</v>
      </c>
      <c r="B16" s="12" t="s">
        <v>321</v>
      </c>
      <c r="C16" s="44" t="n">
        <f aca="false">'02项目1度量'!$B$67</f>
        <v>-0.0442932750055998</v>
      </c>
      <c r="D16" s="44" t="n">
        <f aca="false">'03项目2度量'!$B$65</f>
        <v>0.0486497821252199</v>
      </c>
      <c r="E16" s="15" t="s">
        <v>325</v>
      </c>
    </row>
    <row r="17" customFormat="false" ht="27" hidden="false" customHeight="true" outlineLevel="0" collapsed="false">
      <c r="A17" s="8" t="s">
        <v>107</v>
      </c>
      <c r="B17" s="12" t="s">
        <v>321</v>
      </c>
      <c r="C17" s="45" t="s">
        <v>326</v>
      </c>
      <c r="D17" s="44" t="n">
        <f aca="false">'03项目2度量'!$B$57</f>
        <v>-0.00304878048780488</v>
      </c>
      <c r="E17" s="15" t="s">
        <v>327</v>
      </c>
    </row>
    <row r="18" customFormat="false" ht="15.75" hidden="false" customHeight="true" outlineLevel="0" collapsed="false">
      <c r="A18" s="8" t="s">
        <v>328</v>
      </c>
      <c r="B18" s="40" t="s">
        <v>329</v>
      </c>
      <c r="C18" s="45" t="s">
        <v>326</v>
      </c>
      <c r="D18" s="43" t="n">
        <f aca="false">'03项目2度量'!$B$68</f>
        <v>0.397553516819572</v>
      </c>
      <c r="E18" s="15" t="s">
        <v>330</v>
      </c>
    </row>
    <row r="19" customFormat="false" ht="15.75" hidden="false" customHeight="true" outlineLevel="0" collapsed="false">
      <c r="A19" s="8" t="s">
        <v>263</v>
      </c>
      <c r="B19" s="12" t="s">
        <v>321</v>
      </c>
      <c r="C19" s="45" t="s">
        <v>326</v>
      </c>
      <c r="D19" s="44" t="n">
        <f aca="false">'03项目2度量'!$B$69</f>
        <v>0.784615384615385</v>
      </c>
      <c r="E19" s="15" t="s">
        <v>331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7.89453125" defaultRowHeight="15" customHeight="false" zeroHeight="false" outlineLevelRow="0" outlineLevelCol="0"/>
  <cols>
    <col collapsed="false" customWidth="true" hidden="false" outlineLevel="0" max="1" min="1" style="1" width="4.55"/>
    <col collapsed="false" customWidth="true" hidden="false" outlineLevel="0" max="2" min="2" style="1" width="6.37"/>
    <col collapsed="false" customWidth="true" hidden="false" outlineLevel="0" max="3" min="3" style="1" width="18.2"/>
    <col collapsed="false" customWidth="true" hidden="false" outlineLevel="0" max="5" min="4" style="1" width="10.01"/>
    <col collapsed="false" customWidth="true" hidden="false" outlineLevel="0" max="6" min="6" style="1" width="9.1"/>
    <col collapsed="false" customWidth="true" hidden="false" outlineLevel="0" max="7" min="7" style="1" width="10.01"/>
    <col collapsed="false" customWidth="true" hidden="false" outlineLevel="0" max="8" min="8" style="1" width="56.41"/>
    <col collapsed="false" customWidth="true" hidden="false" outlineLevel="0" max="10" min="9" style="1" width="18.2"/>
  </cols>
  <sheetData>
    <row r="1" customFormat="false" ht="15" hidden="false" customHeight="false" outlineLevel="0" collapsed="false">
      <c r="A1" s="2" t="s">
        <v>332</v>
      </c>
    </row>
    <row r="2" customFormat="false" ht="40.5" hidden="false" customHeight="true" outlineLevel="0" collapsed="false">
      <c r="A2" s="18" t="s">
        <v>99</v>
      </c>
      <c r="B2" s="18"/>
      <c r="C2" s="18"/>
      <c r="D2" s="18"/>
      <c r="E2" s="18"/>
      <c r="F2" s="18"/>
      <c r="G2" s="18"/>
      <c r="H2" s="18"/>
    </row>
    <row r="3" customFormat="false" ht="15" hidden="false" customHeight="false" outlineLevel="0" collapsed="false">
      <c r="A3" s="6" t="s">
        <v>333</v>
      </c>
    </row>
    <row r="4" customFormat="false" ht="15" hidden="false" customHeight="false" outlineLevel="0" collapsed="false">
      <c r="A4" s="6" t="s">
        <v>334</v>
      </c>
    </row>
    <row r="5" customFormat="false" ht="15" hidden="false" customHeight="false" outlineLevel="0" collapsed="false">
      <c r="A5" s="7" t="s">
        <v>335</v>
      </c>
      <c r="B5" s="7" t="s">
        <v>336</v>
      </c>
      <c r="C5" s="7" t="s">
        <v>337</v>
      </c>
      <c r="D5" s="7" t="s">
        <v>338</v>
      </c>
      <c r="E5" s="7" t="s">
        <v>339</v>
      </c>
      <c r="F5" s="7" t="s">
        <v>340</v>
      </c>
      <c r="G5" s="7" t="s">
        <v>341</v>
      </c>
      <c r="H5" s="7" t="s">
        <v>342</v>
      </c>
      <c r="I5" s="7" t="s">
        <v>343</v>
      </c>
      <c r="J5" s="7" t="s">
        <v>344</v>
      </c>
    </row>
    <row r="6" customFormat="false" ht="27" hidden="false" customHeight="true" outlineLevel="0" collapsed="false">
      <c r="A6" s="19" t="n">
        <v>1</v>
      </c>
      <c r="B6" s="12" t="s">
        <v>345</v>
      </c>
      <c r="C6" s="8" t="s">
        <v>122</v>
      </c>
      <c r="D6" s="44" t="n">
        <f aca="false">'02项目1度量'!$B$59</f>
        <v>-0.0456669316375196</v>
      </c>
      <c r="E6" s="44" t="n">
        <f aca="false">'01参数'!$C$4</f>
        <v>0.15</v>
      </c>
      <c r="F6" s="40" t="s">
        <v>346</v>
      </c>
      <c r="G6" s="46" t="str">
        <f aca="false">IF(ABS($D6)&lt;=$E6*'01参数'!$C$11,"● 正常",IF(ABS($D6)&lt;=$E6,"▲ 预警","✖ 超限"))</f>
        <v>● 正常</v>
      </c>
      <c r="H6" s="13" t="s">
        <v>347</v>
      </c>
      <c r="I6" s="45" t="str">
        <f aca="false">IF(LEFT($G6,1)="✖",$B6&amp;$C6,"")</f>
        <v/>
      </c>
      <c r="J6" s="45" t="str">
        <f aca="false">IF(LEFT($G6,1)="▲",$B6&amp;$C6,"")</f>
        <v/>
      </c>
    </row>
    <row r="7" customFormat="false" ht="27" hidden="false" customHeight="true" outlineLevel="0" collapsed="false">
      <c r="A7" s="19" t="n">
        <v>2</v>
      </c>
      <c r="B7" s="12" t="s">
        <v>345</v>
      </c>
      <c r="C7" s="8" t="s">
        <v>144</v>
      </c>
      <c r="D7" s="44" t="n">
        <f aca="false">'02项目1度量'!$B$64</f>
        <v>0</v>
      </c>
      <c r="E7" s="44" t="n">
        <f aca="false">'01参数'!$C$5</f>
        <v>0.15</v>
      </c>
      <c r="F7" s="40" t="s">
        <v>346</v>
      </c>
      <c r="G7" s="46" t="str">
        <f aca="false">IF(ABS($D7)&lt;=$E7*'01参数'!$C$11,"● 正常",IF(ABS($D7)&lt;=$E7,"▲ 预警","✖ 超限"))</f>
        <v>● 正常</v>
      </c>
      <c r="H7" s="13" t="s">
        <v>348</v>
      </c>
      <c r="I7" s="45" t="str">
        <f aca="false">IF(LEFT($G7,1)="✖",$B7&amp;$C7,"")</f>
        <v/>
      </c>
      <c r="J7" s="45" t="str">
        <f aca="false">IF(LEFT($G7,1)="▲",$B7&amp;$C7,"")</f>
        <v/>
      </c>
    </row>
    <row r="8" customFormat="false" ht="27" hidden="false" customHeight="true" outlineLevel="0" collapsed="false">
      <c r="A8" s="19" t="n">
        <v>3</v>
      </c>
      <c r="B8" s="12" t="s">
        <v>345</v>
      </c>
      <c r="C8" s="8" t="s">
        <v>167</v>
      </c>
      <c r="D8" s="44" t="n">
        <f aca="false">'02项目1度量'!$B$67</f>
        <v>-0.0442932750055998</v>
      </c>
      <c r="E8" s="44" t="n">
        <f aca="false">'01参数'!$C$6</f>
        <v>0.15</v>
      </c>
      <c r="F8" s="40" t="s">
        <v>346</v>
      </c>
      <c r="G8" s="46" t="str">
        <f aca="false">IF(ABS($D8)&lt;=$E8*'01参数'!$C$11,"● 正常",IF(ABS($D8)&lt;=$E8,"▲ 预警","✖ 超限"))</f>
        <v>● 正常</v>
      </c>
      <c r="H8" s="13" t="s">
        <v>349</v>
      </c>
      <c r="I8" s="45" t="str">
        <f aca="false">IF(LEFT($G8,1)="✖",$B8&amp;$C8,"")</f>
        <v/>
      </c>
      <c r="J8" s="45" t="str">
        <f aca="false">IF(LEFT($G8,1)="▲",$B8&amp;$C8,"")</f>
        <v/>
      </c>
    </row>
    <row r="9" customFormat="false" ht="27" hidden="false" customHeight="true" outlineLevel="0" collapsed="false">
      <c r="A9" s="19" t="n">
        <v>4</v>
      </c>
      <c r="B9" s="12" t="s">
        <v>345</v>
      </c>
      <c r="C9" s="8" t="s">
        <v>312</v>
      </c>
      <c r="D9" s="41" t="n">
        <f aca="false">'02项目1度量'!$B$61</f>
        <v>7.35631740196078</v>
      </c>
      <c r="E9" s="41" t="n">
        <f aca="false">'01参数'!$C$9</f>
        <v>7.15</v>
      </c>
      <c r="F9" s="40" t="s">
        <v>350</v>
      </c>
      <c r="G9" s="46" t="str">
        <f aca="false">IF($D9&lt;=$E9,"● 达标","✖ 未达标")</f>
        <v>✖ 未达标</v>
      </c>
      <c r="H9" s="15" t="s">
        <v>351</v>
      </c>
      <c r="I9" s="45" t="str">
        <f aca="false">IF(LEFT($G9,1)="✖",$B9&amp;$C9,"")</f>
        <v>P1功能点耗时率</v>
      </c>
      <c r="J9" s="45" t="str">
        <f aca="false">IF(LEFT($G9,1)="▲",$B9&amp;$C9,"")</f>
        <v/>
      </c>
    </row>
    <row r="10" customFormat="false" ht="25.5" hidden="false" customHeight="true" outlineLevel="0" collapsed="false">
      <c r="A10" s="19" t="n">
        <v>5</v>
      </c>
      <c r="B10" s="12" t="s">
        <v>352</v>
      </c>
      <c r="C10" s="8" t="s">
        <v>122</v>
      </c>
      <c r="D10" s="44" t="n">
        <f aca="false">'03项目2度量'!$B$56</f>
        <v>-0.0155069181347422</v>
      </c>
      <c r="E10" s="44" t="n">
        <f aca="false">'01参数'!$C$4</f>
        <v>0.15</v>
      </c>
      <c r="F10" s="40" t="s">
        <v>346</v>
      </c>
      <c r="G10" s="46" t="str">
        <f aca="false">IF(ABS($D10)&lt;=$E10*'01参数'!$C$11,"● 正常",IF(ABS($D10)&lt;=$E10,"▲ 预警","✖ 超限"))</f>
        <v>● 正常</v>
      </c>
      <c r="H10" s="15" t="s">
        <v>353</v>
      </c>
      <c r="I10" s="45" t="str">
        <f aca="false">IF(LEFT($G10,1)="✖",$B10&amp;$C10,"")</f>
        <v/>
      </c>
      <c r="J10" s="45" t="str">
        <f aca="false">IF(LEFT($G10,1)="▲",$B10&amp;$C10,"")</f>
        <v/>
      </c>
    </row>
    <row r="11" customFormat="false" ht="25.5" hidden="false" customHeight="true" outlineLevel="0" collapsed="false">
      <c r="A11" s="19" t="n">
        <v>6</v>
      </c>
      <c r="B11" s="12" t="s">
        <v>352</v>
      </c>
      <c r="C11" s="8" t="s">
        <v>107</v>
      </c>
      <c r="D11" s="44" t="n">
        <f aca="false">'03项目2度量'!$B$57</f>
        <v>-0.00304878048780488</v>
      </c>
      <c r="E11" s="44" t="n">
        <f aca="false">'01参数'!$C$7</f>
        <v>0.1</v>
      </c>
      <c r="F11" s="40" t="s">
        <v>346</v>
      </c>
      <c r="G11" s="46" t="str">
        <f aca="false">IF(ABS($D11)&lt;=$E11*'01参数'!$C$11,"● 正常",IF(ABS($D11)&lt;=$E11,"▲ 预警","✖ 超限"))</f>
        <v>● 正常</v>
      </c>
      <c r="H11" s="15" t="s">
        <v>354</v>
      </c>
      <c r="I11" s="45" t="str">
        <f aca="false">IF(LEFT($G11,1)="✖",$B11&amp;$C11,"")</f>
        <v/>
      </c>
      <c r="J11" s="45" t="str">
        <f aca="false">IF(LEFT($G11,1)="▲",$B11&amp;$C11,"")</f>
        <v/>
      </c>
    </row>
    <row r="12" customFormat="false" ht="27" hidden="false" customHeight="true" outlineLevel="0" collapsed="false">
      <c r="A12" s="19" t="n">
        <v>7</v>
      </c>
      <c r="B12" s="12" t="s">
        <v>352</v>
      </c>
      <c r="C12" s="8" t="s">
        <v>355</v>
      </c>
      <c r="D12" s="44" t="n">
        <f aca="false">'03项目2度量'!$B$62</f>
        <v>0.0743801652892562</v>
      </c>
      <c r="E12" s="44" t="n">
        <f aca="false">'01参数'!$C$5</f>
        <v>0.15</v>
      </c>
      <c r="F12" s="40" t="s">
        <v>346</v>
      </c>
      <c r="G12" s="46" t="str">
        <f aca="false">IF(ABS($D12)&lt;=$E12*'01参数'!$C$11,"● 正常",IF(ABS($D12)&lt;=$E12,"▲ 预警","✖ 超限"))</f>
        <v>● 正常</v>
      </c>
      <c r="H12" s="13" t="s">
        <v>356</v>
      </c>
      <c r="I12" s="45" t="str">
        <f aca="false">IF(LEFT($G12,1)="✖",$B12&amp;$C12,"")</f>
        <v/>
      </c>
      <c r="J12" s="45" t="str">
        <f aca="false">IF(LEFT($G12,1)="▲",$B12&amp;$C12,"")</f>
        <v/>
      </c>
    </row>
    <row r="13" customFormat="false" ht="27" hidden="false" customHeight="true" outlineLevel="0" collapsed="false">
      <c r="A13" s="19" t="n">
        <v>8</v>
      </c>
      <c r="B13" s="12" t="s">
        <v>352</v>
      </c>
      <c r="C13" s="8" t="s">
        <v>167</v>
      </c>
      <c r="D13" s="44" t="n">
        <f aca="false">'03项目2度量'!$B$65</f>
        <v>0.0486497821252199</v>
      </c>
      <c r="E13" s="44" t="n">
        <f aca="false">'01参数'!$C$6</f>
        <v>0.15</v>
      </c>
      <c r="F13" s="40" t="s">
        <v>346</v>
      </c>
      <c r="G13" s="46" t="str">
        <f aca="false">IF(ABS($D13)&lt;=$E13*'01参数'!$C$11,"● 正常",IF(ABS($D13)&lt;=$E13,"▲ 预警","✖ 超限"))</f>
        <v>● 正常</v>
      </c>
      <c r="H13" s="13" t="s">
        <v>357</v>
      </c>
      <c r="I13" s="45" t="str">
        <f aca="false">IF(LEFT($G13,1)="✖",$B13&amp;$C13,"")</f>
        <v/>
      </c>
      <c r="J13" s="45" t="str">
        <f aca="false">IF(LEFT($G13,1)="▲",$B13&amp;$C13,"")</f>
        <v/>
      </c>
    </row>
    <row r="14" customFormat="false" ht="25.5" hidden="false" customHeight="true" outlineLevel="0" collapsed="false">
      <c r="A14" s="19" t="n">
        <v>9</v>
      </c>
      <c r="B14" s="12" t="s">
        <v>352</v>
      </c>
      <c r="C14" s="8" t="s">
        <v>312</v>
      </c>
      <c r="D14" s="41" t="n">
        <f aca="false">'03项目2度量'!$B$59</f>
        <v>7.07033639143731</v>
      </c>
      <c r="E14" s="41" t="n">
        <f aca="false">'01参数'!$C$9</f>
        <v>7.15</v>
      </c>
      <c r="F14" s="40" t="s">
        <v>350</v>
      </c>
      <c r="G14" s="46" t="str">
        <f aca="false">IF($D14&lt;=$E14,"● 达标","✖ 未达标")</f>
        <v>● 达标</v>
      </c>
      <c r="H14" s="15" t="s">
        <v>358</v>
      </c>
      <c r="I14" s="45" t="str">
        <f aca="false">IF(LEFT($G14,1)="✖",$B14&amp;$C14,"")</f>
        <v/>
      </c>
      <c r="J14" s="45" t="str">
        <f aca="false">IF(LEFT($G14,1)="▲",$B14&amp;$C14,"")</f>
        <v/>
      </c>
    </row>
    <row r="15" customFormat="false" ht="27" hidden="false" customHeight="true" outlineLevel="0" collapsed="false">
      <c r="A15" s="19" t="n">
        <v>10</v>
      </c>
      <c r="B15" s="12" t="s">
        <v>352</v>
      </c>
      <c r="C15" s="8" t="s">
        <v>263</v>
      </c>
      <c r="D15" s="44" t="n">
        <f aca="false">'03项目2度量'!$B$69</f>
        <v>0.784615384615385</v>
      </c>
      <c r="E15" s="44" t="n">
        <f aca="false">'01参数'!$C$8</f>
        <v>0.75</v>
      </c>
      <c r="F15" s="40" t="s">
        <v>359</v>
      </c>
      <c r="G15" s="46" t="str">
        <f aca="false">IF($D15&gt;=$E15,"● 达标","✖ 未达标")</f>
        <v>● 达标</v>
      </c>
      <c r="H15" s="15" t="s">
        <v>360</v>
      </c>
      <c r="I15" s="45" t="str">
        <f aca="false">IF(LEFT($G15,1)="✖",$B15&amp;$C15,"")</f>
        <v/>
      </c>
      <c r="J15" s="45" t="str">
        <f aca="false">IF(LEFT($G15,1)="▲",$B15&amp;$C15,"")</f>
        <v/>
      </c>
    </row>
    <row r="16" customFormat="false" ht="25.5" hidden="false" customHeight="true" outlineLevel="0" collapsed="false">
      <c r="A16" s="19" t="n">
        <v>11</v>
      </c>
      <c r="B16" s="12" t="s">
        <v>352</v>
      </c>
      <c r="C16" s="8" t="s">
        <v>361</v>
      </c>
      <c r="D16" s="43" t="n">
        <f aca="false">'03项目2度量'!$B$70</f>
        <v>0.757575757575758</v>
      </c>
      <c r="E16" s="43" t="n">
        <f aca="false">'01参数'!$C$10</f>
        <v>0.75</v>
      </c>
      <c r="F16" s="40" t="s">
        <v>359</v>
      </c>
      <c r="G16" s="46" t="str">
        <f aca="false">IF($D16&gt;=$E16,"● 达标","✖ 未达标")</f>
        <v>● 达标</v>
      </c>
      <c r="H16" s="15" t="s">
        <v>362</v>
      </c>
      <c r="I16" s="45" t="str">
        <f aca="false">IF(LEFT($G16,1)="✖",$B16&amp;$C16,"")</f>
        <v/>
      </c>
      <c r="J16" s="45" t="str">
        <f aca="false">IF(LEFT($G16,1)="▲",$B16&amp;$C16,"")</f>
        <v/>
      </c>
    </row>
    <row r="18" customFormat="false" ht="28.35" hidden="false" customHeight="true" outlineLevel="0" collapsed="false">
      <c r="A18" s="3" t="s">
        <v>363</v>
      </c>
      <c r="B18" s="47" t="s">
        <v>364</v>
      </c>
      <c r="C18" s="47"/>
      <c r="D18" s="48" t="n">
        <f aca="false">SUMPRODUCT(--(LEFT($G$6:$G$16,1)="●"))</f>
        <v>10</v>
      </c>
      <c r="E18" s="49" t="s">
        <v>365</v>
      </c>
      <c r="F18" s="48" t="n">
        <f aca="false">SUMPRODUCT(--(LEFT($G$6:$G$16,1)="▲"))</f>
        <v>0</v>
      </c>
      <c r="G18" s="49" t="s">
        <v>366</v>
      </c>
      <c r="H18" s="50" t="n">
        <f aca="false">SUMPRODUCT(--(LEFT($G$6:$G$16,1)="✖"))</f>
        <v>1</v>
      </c>
    </row>
    <row r="19" customFormat="false" ht="33.75" hidden="false" customHeight="true" outlineLevel="0" collapsed="false">
      <c r="A19" s="3" t="s">
        <v>367</v>
      </c>
      <c r="B19" s="51" t="str">
        <f aca="false">"本次监控共 "&amp;COUNTA($G$6:$G$16)&amp;" 项指标：正常/达标 "&amp;$D$18&amp;" 项、预警 "&amp;$F$18&amp;" 项、超限/未达标 "&amp;$H$18&amp;" 项。"&amp;IF($H$18=0,"无超限/未达标项。","超限/未达标项："&amp;_xlfn.TEXTJOIN("、",TRUE(),$I$6:$I$16)&amp;"。")&amp;IF($F$18=0,"","预警项："&amp;_xlfn.TEXTJOIN("、",TRUE(),$J$6:$J$16)&amp;"。")</f>
        <v>本次监控共 11 项指标：正常/达标 10 项、预警 0 项、超限/未达标 1 项。超限/未达标项：P1功能点耗时率。</v>
      </c>
      <c r="C19" s="51"/>
      <c r="D19" s="51"/>
      <c r="E19" s="51"/>
      <c r="F19" s="51"/>
      <c r="G19" s="51"/>
      <c r="H19" s="51"/>
    </row>
    <row r="21" customFormat="false" ht="15" hidden="false" customHeight="false" outlineLevel="0" collapsed="false">
      <c r="A21" s="3" t="s">
        <v>368</v>
      </c>
    </row>
    <row r="22" customFormat="false" ht="54" hidden="false" customHeight="true" outlineLevel="0" collapsed="false">
      <c r="B22" s="18" t="s">
        <v>369</v>
      </c>
      <c r="C22" s="18"/>
      <c r="D22" s="18"/>
      <c r="E22" s="18"/>
      <c r="F22" s="18"/>
      <c r="G22" s="18"/>
      <c r="H22" s="18"/>
    </row>
    <row r="24" customFormat="false" ht="15" hidden="false" customHeight="false" outlineLevel="0" collapsed="false">
      <c r="A24" s="3" t="s">
        <v>370</v>
      </c>
    </row>
    <row r="25" customFormat="false" ht="15.75" hidden="false" customHeight="true" outlineLevel="0" collapsed="false">
      <c r="A25" s="52" t="s">
        <v>371</v>
      </c>
      <c r="B25" s="53" t="s">
        <v>372</v>
      </c>
      <c r="C25" s="53"/>
      <c r="D25" s="53"/>
      <c r="E25" s="53"/>
      <c r="F25" s="53"/>
      <c r="G25" s="53"/>
      <c r="H25" s="53"/>
    </row>
    <row r="26" customFormat="false" ht="15.75" hidden="false" customHeight="true" outlineLevel="0" collapsed="false">
      <c r="A26" s="52" t="s">
        <v>373</v>
      </c>
      <c r="B26" s="53" t="s">
        <v>374</v>
      </c>
      <c r="C26" s="53"/>
      <c r="D26" s="53"/>
      <c r="E26" s="53"/>
      <c r="F26" s="53"/>
      <c r="G26" s="53"/>
      <c r="H26" s="53"/>
    </row>
    <row r="27" customFormat="false" ht="15.75" hidden="false" customHeight="true" outlineLevel="0" collapsed="false">
      <c r="A27" s="52" t="s">
        <v>375</v>
      </c>
      <c r="B27" s="53" t="s">
        <v>376</v>
      </c>
      <c r="C27" s="53"/>
      <c r="D27" s="53"/>
      <c r="E27" s="53"/>
      <c r="F27" s="53"/>
      <c r="G27" s="53"/>
      <c r="H27" s="53"/>
    </row>
    <row r="28" customFormat="false" ht="15.75" hidden="false" customHeight="true" outlineLevel="0" collapsed="false">
      <c r="A28" s="52" t="s">
        <v>377</v>
      </c>
      <c r="B28" s="53" t="s">
        <v>378</v>
      </c>
      <c r="C28" s="53"/>
      <c r="D28" s="53"/>
      <c r="E28" s="53"/>
      <c r="F28" s="53"/>
      <c r="G28" s="53"/>
      <c r="H28" s="53"/>
    </row>
    <row r="29" customFormat="false" ht="15.75" hidden="false" customHeight="true" outlineLevel="0" collapsed="false">
      <c r="A29" s="52" t="s">
        <v>379</v>
      </c>
      <c r="B29" s="18" t="s">
        <v>380</v>
      </c>
      <c r="C29" s="18"/>
      <c r="D29" s="18"/>
      <c r="E29" s="18"/>
      <c r="F29" s="18"/>
      <c r="G29" s="18"/>
      <c r="H29" s="18"/>
    </row>
    <row r="30" customFormat="false" ht="15.75" hidden="false" customHeight="true" outlineLevel="0" collapsed="false">
      <c r="A30" s="52" t="s">
        <v>381</v>
      </c>
      <c r="B30" s="53" t="s">
        <v>382</v>
      </c>
      <c r="C30" s="53"/>
      <c r="D30" s="53"/>
      <c r="E30" s="53"/>
      <c r="F30" s="53"/>
      <c r="G30" s="53"/>
      <c r="H30" s="53"/>
    </row>
    <row r="32" customFormat="false" ht="15" hidden="false" customHeight="false" outlineLevel="0" collapsed="false">
      <c r="A32" s="3" t="s">
        <v>383</v>
      </c>
    </row>
    <row r="33" customFormat="false" ht="15.75" hidden="false" customHeight="true" outlineLevel="0" collapsed="false">
      <c r="A33" s="52" t="s">
        <v>384</v>
      </c>
      <c r="B33" s="18" t="s">
        <v>385</v>
      </c>
      <c r="C33" s="18"/>
      <c r="D33" s="18"/>
      <c r="E33" s="18"/>
      <c r="F33" s="18"/>
      <c r="G33" s="18"/>
      <c r="H33" s="18"/>
    </row>
    <row r="34" customFormat="false" ht="15.75" hidden="false" customHeight="true" outlineLevel="0" collapsed="false">
      <c r="A34" s="52" t="s">
        <v>386</v>
      </c>
      <c r="B34" s="18" t="s">
        <v>387</v>
      </c>
      <c r="C34" s="18"/>
      <c r="D34" s="18"/>
      <c r="E34" s="18"/>
      <c r="F34" s="18"/>
      <c r="G34" s="18"/>
      <c r="H34" s="18"/>
    </row>
    <row r="35" customFormat="false" ht="15.75" hidden="false" customHeight="true" outlineLevel="0" collapsed="false">
      <c r="A35" s="52" t="s">
        <v>388</v>
      </c>
      <c r="B35" s="18" t="s">
        <v>389</v>
      </c>
      <c r="C35" s="18"/>
      <c r="D35" s="18"/>
      <c r="E35" s="18"/>
      <c r="F35" s="18"/>
      <c r="G35" s="18"/>
      <c r="H35" s="18"/>
    </row>
    <row r="36" customFormat="false" ht="27" hidden="false" customHeight="true" outlineLevel="0" collapsed="false">
      <c r="A36" s="52" t="s">
        <v>390</v>
      </c>
      <c r="B36" s="18" t="s">
        <v>391</v>
      </c>
      <c r="C36" s="18"/>
      <c r="D36" s="18"/>
      <c r="E36" s="18"/>
      <c r="F36" s="18"/>
      <c r="G36" s="18"/>
      <c r="H36" s="18"/>
    </row>
    <row r="37" customFormat="false" ht="15.75" hidden="false" customHeight="true" outlineLevel="0" collapsed="false">
      <c r="A37" s="52" t="s">
        <v>392</v>
      </c>
      <c r="B37" s="18" t="s">
        <v>393</v>
      </c>
      <c r="C37" s="18"/>
      <c r="D37" s="18"/>
      <c r="E37" s="18"/>
      <c r="F37" s="18"/>
      <c r="G37" s="18"/>
      <c r="H37" s="18"/>
    </row>
    <row r="38" customFormat="false" ht="15.75" hidden="false" customHeight="true" outlineLevel="0" collapsed="false">
      <c r="A38" s="52" t="s">
        <v>394</v>
      </c>
      <c r="B38" s="18" t="s">
        <v>395</v>
      </c>
      <c r="C38" s="18"/>
      <c r="D38" s="18"/>
      <c r="E38" s="18"/>
      <c r="F38" s="18"/>
      <c r="G38" s="18"/>
      <c r="H38" s="18"/>
    </row>
  </sheetData>
  <mergeCells count="16">
    <mergeCell ref="A2:H2"/>
    <mergeCell ref="B18:C18"/>
    <mergeCell ref="B19:H19"/>
    <mergeCell ref="B22:H22"/>
    <mergeCell ref="B25:H25"/>
    <mergeCell ref="B26:H26"/>
    <mergeCell ref="B27:H27"/>
    <mergeCell ref="B28:H28"/>
    <mergeCell ref="B29:H29"/>
    <mergeCell ref="B30:H30"/>
    <mergeCell ref="B33:H33"/>
    <mergeCell ref="B34:H34"/>
    <mergeCell ref="B35:H35"/>
    <mergeCell ref="B36:H36"/>
    <mergeCell ref="B37:H37"/>
    <mergeCell ref="B38:H38"/>
  </mergeCells>
  <conditionalFormatting sqref="G6:G16">
    <cfRule type="expression" priority="2" aboveAverage="0" equalAverage="0" bottom="0" percent="0" rank="0" text="" dxfId="0">
      <formula>NOT(ISERROR(SEARCH("●",$G6)))</formula>
    </cfRule>
    <cfRule type="expression" priority="3" aboveAverage="0" equalAverage="0" bottom="0" percent="0" rank="0" text="" dxfId="1">
      <formula>NOT(ISERROR(SEARCH("▲",$G6)))</formula>
    </cfRule>
    <cfRule type="expression" priority="4" aboveAverage="0" equalAverage="0" bottom="0" percent="0" rank="0" text="" dxfId="2">
      <formula>NOT(ISERROR(SEARCH("✖",$G6)))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7.89453125" defaultRowHeight="15" customHeight="false" zeroHeight="false" outlineLevelRow="0" outlineLevelCol="0"/>
  <cols>
    <col collapsed="false" customWidth="true" hidden="false" outlineLevel="0" max="1" min="1" style="1" width="8.19"/>
    <col collapsed="false" customWidth="true" hidden="false" outlineLevel="0" max="2" min="2" style="1" width="12.74"/>
    <col collapsed="false" customWidth="true" hidden="false" outlineLevel="0" max="3" min="3" style="1" width="8.19"/>
    <col collapsed="false" customWidth="true" hidden="false" outlineLevel="0" max="4" min="4" style="1" width="13.65"/>
    <col collapsed="false" customWidth="true" hidden="false" outlineLevel="0" max="5" min="5" style="1" width="6.37"/>
    <col collapsed="false" customWidth="true" hidden="false" outlineLevel="0" max="6" min="6" style="1" width="11.83"/>
    <col collapsed="false" customWidth="true" hidden="false" outlineLevel="0" max="7" min="7" style="1" width="8.19"/>
    <col collapsed="false" customWidth="true" hidden="false" outlineLevel="0" max="8" min="8" style="1" width="63.69"/>
    <col collapsed="false" customWidth="true" hidden="false" outlineLevel="0" max="10" min="9" style="1" width="34.57"/>
    <col collapsed="false" customWidth="true" hidden="false" outlineLevel="0" max="11" min="11" style="1" width="43.67"/>
    <col collapsed="false" customWidth="true" hidden="false" outlineLevel="0" max="12" min="12" style="1" width="34.57"/>
  </cols>
  <sheetData>
    <row r="1" customFormat="false" ht="17.15" hidden="false" customHeight="false" outlineLevel="0" collapsed="false">
      <c r="A1" s="2" t="s">
        <v>396</v>
      </c>
    </row>
    <row r="3" customFormat="false" ht="15" hidden="false" customHeight="false" outlineLevel="0" collapsed="false">
      <c r="A3" s="54" t="s">
        <v>397</v>
      </c>
      <c r="B3" s="48" t="n">
        <f aca="false">SUMPRODUCT(1/COUNTIF($A$9:$A$35,$A$9:$A$35))</f>
        <v>8</v>
      </c>
      <c r="C3" s="54" t="s">
        <v>398</v>
      </c>
      <c r="D3" s="48" t="n">
        <f aca="false">COUNTA($C$9:$C$35)</f>
        <v>27</v>
      </c>
      <c r="E3" s="55" t="s">
        <v>399</v>
      </c>
      <c r="F3" s="48" t="n">
        <f aca="false">COUNTIF($E$9:$E$35,"P1")</f>
        <v>19</v>
      </c>
    </row>
    <row r="4" customFormat="false" ht="15" hidden="false" customHeight="false" outlineLevel="0" collapsed="false">
      <c r="A4" s="56" t="s">
        <v>400</v>
      </c>
      <c r="B4" s="56"/>
      <c r="C4" s="56"/>
      <c r="D4" s="56"/>
      <c r="E4" s="55" t="s">
        <v>401</v>
      </c>
      <c r="F4" s="48" t="n">
        <f aca="false">COUNTIF($E$9:$E$35,"P2")</f>
        <v>2</v>
      </c>
    </row>
    <row r="5" customFormat="false" ht="15" hidden="false" customHeight="false" outlineLevel="0" collapsed="false">
      <c r="A5" s="56" t="s">
        <v>402</v>
      </c>
      <c r="B5" s="56"/>
      <c r="C5" s="56"/>
      <c r="D5" s="56"/>
      <c r="E5" s="55" t="s">
        <v>403</v>
      </c>
      <c r="F5" s="48" t="n">
        <f aca="false">COUNTIF($E$9:$E$35,"P3")</f>
        <v>6</v>
      </c>
    </row>
    <row r="7" customFormat="false" ht="15" hidden="false" customHeight="false" outlineLevel="0" collapsed="false">
      <c r="A7" s="6" t="s">
        <v>404</v>
      </c>
    </row>
    <row r="8" customFormat="false" ht="28.35" hidden="false" customHeight="false" outlineLevel="0" collapsed="false">
      <c r="A8" s="7" t="s">
        <v>405</v>
      </c>
      <c r="B8" s="7" t="s">
        <v>406</v>
      </c>
      <c r="C8" s="7" t="s">
        <v>407</v>
      </c>
      <c r="D8" s="7" t="s">
        <v>408</v>
      </c>
      <c r="E8" s="7" t="s">
        <v>409</v>
      </c>
      <c r="F8" s="7" t="s">
        <v>410</v>
      </c>
      <c r="G8" s="57" t="s">
        <v>411</v>
      </c>
      <c r="H8" s="7" t="s">
        <v>412</v>
      </c>
      <c r="I8" s="7" t="s">
        <v>413</v>
      </c>
      <c r="J8" s="7" t="s">
        <v>414</v>
      </c>
      <c r="K8" s="7" t="s">
        <v>415</v>
      </c>
      <c r="L8" s="7" t="s">
        <v>416</v>
      </c>
    </row>
    <row r="9" customFormat="false" ht="94.5" hidden="false" customHeight="true" outlineLevel="0" collapsed="false">
      <c r="A9" s="12" t="s">
        <v>417</v>
      </c>
      <c r="B9" s="13" t="s">
        <v>418</v>
      </c>
      <c r="C9" s="12" t="s">
        <v>419</v>
      </c>
      <c r="D9" s="13" t="s">
        <v>420</v>
      </c>
      <c r="E9" s="12" t="s">
        <v>345</v>
      </c>
      <c r="F9" s="40" t="s">
        <v>421</v>
      </c>
      <c r="G9" s="12" t="s">
        <v>422</v>
      </c>
      <c r="H9" s="13" t="s">
        <v>423</v>
      </c>
      <c r="I9" s="13" t="s">
        <v>424</v>
      </c>
      <c r="J9" s="13" t="s">
        <v>425</v>
      </c>
      <c r="K9" s="13" t="s">
        <v>426</v>
      </c>
      <c r="L9" s="15" t="s">
        <v>427</v>
      </c>
    </row>
    <row r="10" customFormat="false" ht="81" hidden="false" customHeight="true" outlineLevel="0" collapsed="false">
      <c r="A10" s="12" t="s">
        <v>417</v>
      </c>
      <c r="B10" s="13" t="s">
        <v>418</v>
      </c>
      <c r="C10" s="12" t="s">
        <v>428</v>
      </c>
      <c r="D10" s="13" t="s">
        <v>429</v>
      </c>
      <c r="E10" s="12" t="s">
        <v>430</v>
      </c>
      <c r="F10" s="40" t="s">
        <v>256</v>
      </c>
      <c r="G10" s="12" t="s">
        <v>431</v>
      </c>
      <c r="H10" s="13" t="s">
        <v>432</v>
      </c>
      <c r="I10" s="13" t="s">
        <v>433</v>
      </c>
      <c r="J10" s="13" t="s">
        <v>434</v>
      </c>
      <c r="K10" s="13" t="s">
        <v>435</v>
      </c>
      <c r="L10" s="15" t="s">
        <v>436</v>
      </c>
    </row>
    <row r="11" customFormat="false" ht="81" hidden="false" customHeight="true" outlineLevel="0" collapsed="false">
      <c r="A11" s="12" t="s">
        <v>417</v>
      </c>
      <c r="B11" s="13" t="s">
        <v>418</v>
      </c>
      <c r="C11" s="12" t="s">
        <v>437</v>
      </c>
      <c r="D11" s="13" t="s">
        <v>438</v>
      </c>
      <c r="E11" s="12" t="s">
        <v>345</v>
      </c>
      <c r="F11" s="40" t="s">
        <v>421</v>
      </c>
      <c r="G11" s="12" t="s">
        <v>439</v>
      </c>
      <c r="H11" s="13" t="s">
        <v>440</v>
      </c>
      <c r="I11" s="13" t="s">
        <v>441</v>
      </c>
      <c r="J11" s="13" t="s">
        <v>442</v>
      </c>
      <c r="K11" s="13" t="s">
        <v>443</v>
      </c>
      <c r="L11" s="15" t="s">
        <v>444</v>
      </c>
    </row>
    <row r="12" customFormat="false" ht="81" hidden="false" customHeight="true" outlineLevel="0" collapsed="false">
      <c r="A12" s="12" t="s">
        <v>417</v>
      </c>
      <c r="B12" s="13" t="s">
        <v>418</v>
      </c>
      <c r="C12" s="12" t="s">
        <v>445</v>
      </c>
      <c r="D12" s="13" t="s">
        <v>446</v>
      </c>
      <c r="E12" s="12" t="s">
        <v>430</v>
      </c>
      <c r="F12" s="40" t="s">
        <v>256</v>
      </c>
      <c r="G12" s="12" t="s">
        <v>447</v>
      </c>
      <c r="H12" s="13" t="s">
        <v>448</v>
      </c>
      <c r="I12" s="13" t="s">
        <v>449</v>
      </c>
      <c r="J12" s="13" t="s">
        <v>450</v>
      </c>
      <c r="K12" s="13" t="s">
        <v>451</v>
      </c>
      <c r="L12" s="15" t="s">
        <v>452</v>
      </c>
    </row>
    <row r="13" customFormat="false" ht="94.5" hidden="false" customHeight="true" outlineLevel="0" collapsed="false">
      <c r="A13" s="12" t="s">
        <v>417</v>
      </c>
      <c r="B13" s="13" t="s">
        <v>418</v>
      </c>
      <c r="C13" s="12" t="s">
        <v>453</v>
      </c>
      <c r="D13" s="13" t="s">
        <v>454</v>
      </c>
      <c r="E13" s="12" t="s">
        <v>345</v>
      </c>
      <c r="F13" s="40" t="s">
        <v>421</v>
      </c>
      <c r="G13" s="12" t="s">
        <v>455</v>
      </c>
      <c r="H13" s="13" t="s">
        <v>456</v>
      </c>
      <c r="I13" s="13" t="s">
        <v>457</v>
      </c>
      <c r="J13" s="13" t="s">
        <v>458</v>
      </c>
      <c r="K13" s="13" t="s">
        <v>459</v>
      </c>
      <c r="L13" s="15" t="s">
        <v>460</v>
      </c>
    </row>
    <row r="14" customFormat="false" ht="81" hidden="false" customHeight="true" outlineLevel="0" collapsed="false">
      <c r="A14" s="12" t="s">
        <v>461</v>
      </c>
      <c r="B14" s="13" t="s">
        <v>462</v>
      </c>
      <c r="C14" s="12" t="s">
        <v>463</v>
      </c>
      <c r="D14" s="13" t="s">
        <v>464</v>
      </c>
      <c r="E14" s="12" t="s">
        <v>345</v>
      </c>
      <c r="F14" s="40" t="s">
        <v>421</v>
      </c>
      <c r="G14" s="12" t="s">
        <v>465</v>
      </c>
      <c r="H14" s="13" t="s">
        <v>466</v>
      </c>
      <c r="I14" s="13" t="s">
        <v>467</v>
      </c>
      <c r="J14" s="13" t="s">
        <v>468</v>
      </c>
      <c r="K14" s="13" t="s">
        <v>469</v>
      </c>
      <c r="L14" s="15" t="s">
        <v>470</v>
      </c>
    </row>
    <row r="15" customFormat="false" ht="94.5" hidden="false" customHeight="true" outlineLevel="0" collapsed="false">
      <c r="A15" s="12" t="s">
        <v>461</v>
      </c>
      <c r="B15" s="13" t="s">
        <v>462</v>
      </c>
      <c r="C15" s="12" t="s">
        <v>471</v>
      </c>
      <c r="D15" s="13" t="s">
        <v>472</v>
      </c>
      <c r="E15" s="12" t="s">
        <v>345</v>
      </c>
      <c r="F15" s="40" t="s">
        <v>421</v>
      </c>
      <c r="G15" s="12" t="s">
        <v>473</v>
      </c>
      <c r="H15" s="13" t="s">
        <v>474</v>
      </c>
      <c r="I15" s="13" t="s">
        <v>475</v>
      </c>
      <c r="J15" s="13" t="s">
        <v>476</v>
      </c>
      <c r="K15" s="13" t="s">
        <v>477</v>
      </c>
      <c r="L15" s="15" t="s">
        <v>478</v>
      </c>
    </row>
    <row r="16" customFormat="false" ht="81" hidden="false" customHeight="true" outlineLevel="0" collapsed="false">
      <c r="A16" s="12" t="s">
        <v>461</v>
      </c>
      <c r="B16" s="13" t="s">
        <v>462</v>
      </c>
      <c r="C16" s="12" t="s">
        <v>479</v>
      </c>
      <c r="D16" s="13" t="s">
        <v>480</v>
      </c>
      <c r="E16" s="12" t="s">
        <v>345</v>
      </c>
      <c r="F16" s="40" t="s">
        <v>421</v>
      </c>
      <c r="G16" s="12" t="s">
        <v>481</v>
      </c>
      <c r="H16" s="13" t="s">
        <v>482</v>
      </c>
      <c r="I16" s="13" t="s">
        <v>483</v>
      </c>
      <c r="J16" s="13" t="s">
        <v>484</v>
      </c>
      <c r="K16" s="13" t="s">
        <v>485</v>
      </c>
      <c r="L16" s="15" t="s">
        <v>486</v>
      </c>
    </row>
    <row r="17" customFormat="false" ht="81" hidden="false" customHeight="true" outlineLevel="0" collapsed="false">
      <c r="A17" s="12" t="s">
        <v>487</v>
      </c>
      <c r="B17" s="13" t="s">
        <v>488</v>
      </c>
      <c r="C17" s="12" t="s">
        <v>489</v>
      </c>
      <c r="D17" s="13" t="s">
        <v>490</v>
      </c>
      <c r="E17" s="12" t="s">
        <v>345</v>
      </c>
      <c r="F17" s="40" t="s">
        <v>421</v>
      </c>
      <c r="G17" s="12" t="s">
        <v>491</v>
      </c>
      <c r="H17" s="13" t="s">
        <v>492</v>
      </c>
      <c r="I17" s="13" t="s">
        <v>493</v>
      </c>
      <c r="J17" s="13" t="s">
        <v>494</v>
      </c>
      <c r="K17" s="13" t="s">
        <v>495</v>
      </c>
      <c r="L17" s="15" t="s">
        <v>496</v>
      </c>
    </row>
    <row r="18" customFormat="false" ht="67.5" hidden="false" customHeight="true" outlineLevel="0" collapsed="false">
      <c r="A18" s="12" t="s">
        <v>487</v>
      </c>
      <c r="B18" s="13" t="s">
        <v>488</v>
      </c>
      <c r="C18" s="12" t="s">
        <v>497</v>
      </c>
      <c r="D18" s="13" t="s">
        <v>498</v>
      </c>
      <c r="E18" s="12" t="s">
        <v>430</v>
      </c>
      <c r="F18" s="40" t="s">
        <v>256</v>
      </c>
      <c r="G18" s="12" t="s">
        <v>499</v>
      </c>
      <c r="H18" s="13" t="s">
        <v>500</v>
      </c>
      <c r="I18" s="13" t="s">
        <v>501</v>
      </c>
      <c r="J18" s="13" t="s">
        <v>502</v>
      </c>
      <c r="K18" s="13" t="s">
        <v>503</v>
      </c>
      <c r="L18" s="15" t="s">
        <v>504</v>
      </c>
    </row>
    <row r="19" customFormat="false" ht="67.5" hidden="false" customHeight="true" outlineLevel="0" collapsed="false">
      <c r="A19" s="12" t="s">
        <v>487</v>
      </c>
      <c r="B19" s="13" t="s">
        <v>488</v>
      </c>
      <c r="C19" s="12" t="s">
        <v>505</v>
      </c>
      <c r="D19" s="15" t="s">
        <v>506</v>
      </c>
      <c r="E19" s="12" t="s">
        <v>430</v>
      </c>
      <c r="F19" s="40" t="s">
        <v>256</v>
      </c>
      <c r="G19" s="12" t="s">
        <v>507</v>
      </c>
      <c r="H19" s="13" t="s">
        <v>508</v>
      </c>
      <c r="I19" s="13" t="s">
        <v>509</v>
      </c>
      <c r="J19" s="13" t="s">
        <v>510</v>
      </c>
      <c r="K19" s="13" t="s">
        <v>511</v>
      </c>
      <c r="L19" s="15" t="s">
        <v>512</v>
      </c>
    </row>
    <row r="20" customFormat="false" ht="108.75" hidden="false" customHeight="true" outlineLevel="0" collapsed="false">
      <c r="A20" s="12" t="s">
        <v>487</v>
      </c>
      <c r="B20" s="13" t="s">
        <v>488</v>
      </c>
      <c r="C20" s="12" t="s">
        <v>513</v>
      </c>
      <c r="D20" s="13" t="s">
        <v>514</v>
      </c>
      <c r="E20" s="12" t="s">
        <v>345</v>
      </c>
      <c r="F20" s="40" t="s">
        <v>421</v>
      </c>
      <c r="G20" s="12" t="s">
        <v>515</v>
      </c>
      <c r="H20" s="13" t="s">
        <v>516</v>
      </c>
      <c r="I20" s="13" t="s">
        <v>517</v>
      </c>
      <c r="J20" s="13" t="s">
        <v>518</v>
      </c>
      <c r="K20" s="13" t="s">
        <v>519</v>
      </c>
      <c r="L20" s="15" t="s">
        <v>520</v>
      </c>
    </row>
    <row r="21" customFormat="false" ht="94.5" hidden="false" customHeight="true" outlineLevel="0" collapsed="false">
      <c r="A21" s="12" t="s">
        <v>521</v>
      </c>
      <c r="B21" s="13" t="s">
        <v>522</v>
      </c>
      <c r="C21" s="12" t="s">
        <v>523</v>
      </c>
      <c r="D21" s="13" t="s">
        <v>524</v>
      </c>
      <c r="E21" s="12" t="s">
        <v>345</v>
      </c>
      <c r="F21" s="40" t="s">
        <v>421</v>
      </c>
      <c r="G21" s="12" t="s">
        <v>525</v>
      </c>
      <c r="H21" s="13" t="s">
        <v>526</v>
      </c>
      <c r="I21" s="13" t="s">
        <v>527</v>
      </c>
      <c r="J21" s="13" t="s">
        <v>528</v>
      </c>
      <c r="K21" s="13" t="s">
        <v>529</v>
      </c>
      <c r="L21" s="15" t="s">
        <v>530</v>
      </c>
    </row>
    <row r="22" customFormat="false" ht="81" hidden="false" customHeight="true" outlineLevel="0" collapsed="false">
      <c r="A22" s="12" t="s">
        <v>521</v>
      </c>
      <c r="B22" s="13" t="s">
        <v>522</v>
      </c>
      <c r="C22" s="12" t="s">
        <v>531</v>
      </c>
      <c r="D22" s="13" t="s">
        <v>532</v>
      </c>
      <c r="E22" s="12" t="s">
        <v>352</v>
      </c>
      <c r="F22" s="40" t="s">
        <v>533</v>
      </c>
      <c r="G22" s="12" t="s">
        <v>534</v>
      </c>
      <c r="H22" s="13" t="s">
        <v>535</v>
      </c>
      <c r="I22" s="13" t="s">
        <v>536</v>
      </c>
      <c r="J22" s="13" t="s">
        <v>537</v>
      </c>
      <c r="K22" s="13" t="s">
        <v>538</v>
      </c>
      <c r="L22" s="15" t="s">
        <v>539</v>
      </c>
    </row>
    <row r="23" customFormat="false" ht="94.5" hidden="false" customHeight="true" outlineLevel="0" collapsed="false">
      <c r="A23" s="12" t="s">
        <v>521</v>
      </c>
      <c r="B23" s="13" t="s">
        <v>522</v>
      </c>
      <c r="C23" s="12" t="s">
        <v>540</v>
      </c>
      <c r="D23" s="13" t="s">
        <v>541</v>
      </c>
      <c r="E23" s="12" t="s">
        <v>352</v>
      </c>
      <c r="F23" s="40" t="s">
        <v>533</v>
      </c>
      <c r="G23" s="12" t="s">
        <v>542</v>
      </c>
      <c r="H23" s="13" t="s">
        <v>543</v>
      </c>
      <c r="I23" s="13" t="s">
        <v>544</v>
      </c>
      <c r="J23" s="13" t="s">
        <v>545</v>
      </c>
      <c r="K23" s="13" t="s">
        <v>546</v>
      </c>
      <c r="L23" s="15" t="s">
        <v>547</v>
      </c>
    </row>
    <row r="24" customFormat="false" ht="94.5" hidden="false" customHeight="true" outlineLevel="0" collapsed="false">
      <c r="A24" s="12" t="s">
        <v>548</v>
      </c>
      <c r="B24" s="13" t="s">
        <v>549</v>
      </c>
      <c r="C24" s="12" t="s">
        <v>550</v>
      </c>
      <c r="D24" s="13" t="s">
        <v>551</v>
      </c>
      <c r="E24" s="12" t="s">
        <v>345</v>
      </c>
      <c r="F24" s="40" t="s">
        <v>421</v>
      </c>
      <c r="G24" s="12" t="s">
        <v>552</v>
      </c>
      <c r="H24" s="13" t="s">
        <v>553</v>
      </c>
      <c r="I24" s="13" t="s">
        <v>554</v>
      </c>
      <c r="J24" s="13" t="s">
        <v>555</v>
      </c>
      <c r="K24" s="13" t="s">
        <v>556</v>
      </c>
      <c r="L24" s="15" t="s">
        <v>557</v>
      </c>
    </row>
    <row r="25" customFormat="false" ht="108.75" hidden="false" customHeight="true" outlineLevel="0" collapsed="false">
      <c r="A25" s="12" t="s">
        <v>548</v>
      </c>
      <c r="B25" s="13" t="s">
        <v>549</v>
      </c>
      <c r="C25" s="12" t="s">
        <v>558</v>
      </c>
      <c r="D25" s="13" t="s">
        <v>559</v>
      </c>
      <c r="E25" s="12" t="s">
        <v>345</v>
      </c>
      <c r="F25" s="40" t="s">
        <v>421</v>
      </c>
      <c r="G25" s="12" t="s">
        <v>560</v>
      </c>
      <c r="H25" s="13" t="s">
        <v>561</v>
      </c>
      <c r="I25" s="13" t="s">
        <v>562</v>
      </c>
      <c r="J25" s="13" t="s">
        <v>563</v>
      </c>
      <c r="K25" s="13" t="s">
        <v>564</v>
      </c>
      <c r="L25" s="15" t="s">
        <v>565</v>
      </c>
    </row>
    <row r="26" customFormat="false" ht="81" hidden="false" customHeight="true" outlineLevel="0" collapsed="false">
      <c r="A26" s="12" t="s">
        <v>566</v>
      </c>
      <c r="B26" s="13" t="s">
        <v>567</v>
      </c>
      <c r="C26" s="12" t="s">
        <v>568</v>
      </c>
      <c r="D26" s="13" t="s">
        <v>569</v>
      </c>
      <c r="E26" s="12" t="s">
        <v>345</v>
      </c>
      <c r="F26" s="40" t="s">
        <v>421</v>
      </c>
      <c r="G26" s="12" t="s">
        <v>570</v>
      </c>
      <c r="H26" s="13" t="s">
        <v>571</v>
      </c>
      <c r="I26" s="13" t="s">
        <v>572</v>
      </c>
      <c r="J26" s="13" t="s">
        <v>573</v>
      </c>
      <c r="K26" s="13" t="s">
        <v>574</v>
      </c>
      <c r="L26" s="15" t="s">
        <v>575</v>
      </c>
    </row>
    <row r="27" customFormat="false" ht="108.75" hidden="false" customHeight="true" outlineLevel="0" collapsed="false">
      <c r="A27" s="12" t="s">
        <v>566</v>
      </c>
      <c r="B27" s="13" t="s">
        <v>567</v>
      </c>
      <c r="C27" s="12" t="s">
        <v>576</v>
      </c>
      <c r="D27" s="13" t="s">
        <v>577</v>
      </c>
      <c r="E27" s="12" t="s">
        <v>345</v>
      </c>
      <c r="F27" s="40" t="s">
        <v>421</v>
      </c>
      <c r="G27" s="12" t="s">
        <v>578</v>
      </c>
      <c r="H27" s="13" t="s">
        <v>579</v>
      </c>
      <c r="I27" s="13" t="s">
        <v>580</v>
      </c>
      <c r="J27" s="13" t="s">
        <v>581</v>
      </c>
      <c r="K27" s="13" t="s">
        <v>582</v>
      </c>
      <c r="L27" s="15" t="s">
        <v>583</v>
      </c>
    </row>
    <row r="28" customFormat="false" ht="81" hidden="false" customHeight="true" outlineLevel="0" collapsed="false">
      <c r="A28" s="12" t="s">
        <v>566</v>
      </c>
      <c r="B28" s="13" t="s">
        <v>567</v>
      </c>
      <c r="C28" s="12" t="s">
        <v>584</v>
      </c>
      <c r="D28" s="13" t="s">
        <v>585</v>
      </c>
      <c r="E28" s="12" t="s">
        <v>345</v>
      </c>
      <c r="F28" s="40" t="s">
        <v>421</v>
      </c>
      <c r="G28" s="12" t="s">
        <v>586</v>
      </c>
      <c r="H28" s="13" t="s">
        <v>587</v>
      </c>
      <c r="I28" s="13" t="s">
        <v>588</v>
      </c>
      <c r="J28" s="13" t="s">
        <v>589</v>
      </c>
      <c r="K28" s="13" t="s">
        <v>590</v>
      </c>
      <c r="L28" s="15" t="s">
        <v>591</v>
      </c>
    </row>
    <row r="29" customFormat="false" ht="81" hidden="false" customHeight="true" outlineLevel="0" collapsed="false">
      <c r="A29" s="12" t="s">
        <v>566</v>
      </c>
      <c r="B29" s="13" t="s">
        <v>567</v>
      </c>
      <c r="C29" s="12" t="s">
        <v>592</v>
      </c>
      <c r="D29" s="13" t="s">
        <v>593</v>
      </c>
      <c r="E29" s="12" t="s">
        <v>430</v>
      </c>
      <c r="F29" s="40" t="s">
        <v>256</v>
      </c>
      <c r="G29" s="12" t="s">
        <v>594</v>
      </c>
      <c r="H29" s="13" t="s">
        <v>595</v>
      </c>
      <c r="I29" s="13" t="s">
        <v>596</v>
      </c>
      <c r="J29" s="13" t="s">
        <v>597</v>
      </c>
      <c r="K29" s="13" t="s">
        <v>598</v>
      </c>
      <c r="L29" s="15" t="s">
        <v>599</v>
      </c>
    </row>
    <row r="30" customFormat="false" ht="135.75" hidden="false" customHeight="true" outlineLevel="0" collapsed="false">
      <c r="A30" s="12" t="s">
        <v>600</v>
      </c>
      <c r="B30" s="13" t="s">
        <v>601</v>
      </c>
      <c r="C30" s="12" t="s">
        <v>602</v>
      </c>
      <c r="D30" s="13" t="s">
        <v>603</v>
      </c>
      <c r="E30" s="12" t="s">
        <v>345</v>
      </c>
      <c r="F30" s="40" t="s">
        <v>421</v>
      </c>
      <c r="G30" s="12" t="s">
        <v>604</v>
      </c>
      <c r="H30" s="13" t="s">
        <v>605</v>
      </c>
      <c r="I30" s="13" t="s">
        <v>606</v>
      </c>
      <c r="J30" s="13" t="s">
        <v>607</v>
      </c>
      <c r="K30" s="13" t="s">
        <v>608</v>
      </c>
      <c r="L30" s="15" t="s">
        <v>609</v>
      </c>
    </row>
    <row r="31" customFormat="false" ht="81" hidden="false" customHeight="true" outlineLevel="0" collapsed="false">
      <c r="A31" s="12" t="s">
        <v>600</v>
      </c>
      <c r="B31" s="13" t="s">
        <v>601</v>
      </c>
      <c r="C31" s="12" t="s">
        <v>610</v>
      </c>
      <c r="D31" s="13" t="s">
        <v>611</v>
      </c>
      <c r="E31" s="12" t="s">
        <v>430</v>
      </c>
      <c r="F31" s="40" t="s">
        <v>256</v>
      </c>
      <c r="G31" s="12" t="s">
        <v>612</v>
      </c>
      <c r="H31" s="13" t="s">
        <v>613</v>
      </c>
      <c r="I31" s="15" t="s">
        <v>614</v>
      </c>
      <c r="J31" s="13" t="s">
        <v>615</v>
      </c>
      <c r="K31" s="13" t="s">
        <v>616</v>
      </c>
      <c r="L31" s="15" t="s">
        <v>617</v>
      </c>
    </row>
    <row r="32" customFormat="false" ht="94.5" hidden="false" customHeight="true" outlineLevel="0" collapsed="false">
      <c r="A32" s="12" t="s">
        <v>600</v>
      </c>
      <c r="B32" s="13" t="s">
        <v>601</v>
      </c>
      <c r="C32" s="12" t="s">
        <v>618</v>
      </c>
      <c r="D32" s="13" t="s">
        <v>619</v>
      </c>
      <c r="E32" s="12" t="s">
        <v>345</v>
      </c>
      <c r="F32" s="40" t="s">
        <v>421</v>
      </c>
      <c r="G32" s="12" t="s">
        <v>620</v>
      </c>
      <c r="H32" s="13" t="s">
        <v>621</v>
      </c>
      <c r="I32" s="13" t="s">
        <v>622</v>
      </c>
      <c r="J32" s="13" t="s">
        <v>623</v>
      </c>
      <c r="K32" s="13" t="s">
        <v>624</v>
      </c>
      <c r="L32" s="15" t="s">
        <v>625</v>
      </c>
    </row>
    <row r="33" customFormat="false" ht="135.75" hidden="false" customHeight="true" outlineLevel="0" collapsed="false">
      <c r="A33" s="12" t="s">
        <v>626</v>
      </c>
      <c r="B33" s="13" t="s">
        <v>627</v>
      </c>
      <c r="C33" s="12" t="s">
        <v>628</v>
      </c>
      <c r="D33" s="13" t="s">
        <v>629</v>
      </c>
      <c r="E33" s="12" t="s">
        <v>345</v>
      </c>
      <c r="F33" s="40" t="s">
        <v>421</v>
      </c>
      <c r="G33" s="12" t="s">
        <v>630</v>
      </c>
      <c r="H33" s="13" t="s">
        <v>631</v>
      </c>
      <c r="I33" s="15" t="s">
        <v>632</v>
      </c>
      <c r="J33" s="15" t="s">
        <v>633</v>
      </c>
      <c r="K33" s="13" t="s">
        <v>634</v>
      </c>
      <c r="L33" s="15" t="s">
        <v>635</v>
      </c>
    </row>
    <row r="34" customFormat="false" ht="204" hidden="false" customHeight="true" outlineLevel="0" collapsed="false">
      <c r="A34" s="12" t="s">
        <v>626</v>
      </c>
      <c r="B34" s="13" t="s">
        <v>627</v>
      </c>
      <c r="C34" s="12" t="s">
        <v>636</v>
      </c>
      <c r="D34" s="13" t="s">
        <v>637</v>
      </c>
      <c r="E34" s="12" t="s">
        <v>345</v>
      </c>
      <c r="F34" s="40" t="s">
        <v>421</v>
      </c>
      <c r="G34" s="12" t="s">
        <v>638</v>
      </c>
      <c r="H34" s="13" t="s">
        <v>639</v>
      </c>
      <c r="I34" s="15" t="s">
        <v>640</v>
      </c>
      <c r="J34" s="15" t="s">
        <v>641</v>
      </c>
      <c r="K34" s="13" t="s">
        <v>642</v>
      </c>
      <c r="L34" s="15" t="s">
        <v>643</v>
      </c>
    </row>
    <row r="35" customFormat="false" ht="135.75" hidden="false" customHeight="true" outlineLevel="0" collapsed="false">
      <c r="A35" s="12" t="s">
        <v>626</v>
      </c>
      <c r="B35" s="13" t="s">
        <v>627</v>
      </c>
      <c r="C35" s="12" t="s">
        <v>644</v>
      </c>
      <c r="D35" s="13" t="s">
        <v>645</v>
      </c>
      <c r="E35" s="12" t="s">
        <v>345</v>
      </c>
      <c r="F35" s="40" t="s">
        <v>421</v>
      </c>
      <c r="G35" s="12" t="s">
        <v>646</v>
      </c>
      <c r="H35" s="13" t="s">
        <v>647</v>
      </c>
      <c r="I35" s="15" t="s">
        <v>648</v>
      </c>
      <c r="J35" s="15" t="s">
        <v>649</v>
      </c>
      <c r="K35" s="13" t="s">
        <v>650</v>
      </c>
      <c r="L35" s="15" t="s">
        <v>651</v>
      </c>
    </row>
    <row r="38" customFormat="false" ht="15" hidden="false" customHeight="false" outlineLevel="0" collapsed="false">
      <c r="A38" s="3" t="s">
        <v>652</v>
      </c>
    </row>
    <row r="39" customFormat="false" ht="28.35" hidden="false" customHeight="false" outlineLevel="0" collapsed="false">
      <c r="A39" s="7" t="s">
        <v>653</v>
      </c>
      <c r="B39" s="57" t="s">
        <v>654</v>
      </c>
      <c r="C39" s="7" t="s">
        <v>655</v>
      </c>
    </row>
    <row r="40" customFormat="false" ht="162.75" hidden="false" customHeight="true" outlineLevel="0" collapsed="false">
      <c r="A40" s="13" t="s">
        <v>656</v>
      </c>
      <c r="B40" s="15" t="s">
        <v>657</v>
      </c>
      <c r="C40" s="15" t="s">
        <v>658</v>
      </c>
      <c r="D40" s="15"/>
      <c r="E40" s="15"/>
      <c r="F40" s="15"/>
      <c r="G40" s="15"/>
      <c r="H40" s="15"/>
    </row>
    <row r="41" customFormat="false" ht="122.25" hidden="false" customHeight="true" outlineLevel="0" collapsed="false">
      <c r="A41" s="13" t="s">
        <v>659</v>
      </c>
      <c r="B41" s="15" t="s">
        <v>660</v>
      </c>
      <c r="C41" s="15" t="s">
        <v>661</v>
      </c>
      <c r="D41" s="15"/>
      <c r="E41" s="15"/>
      <c r="F41" s="15"/>
      <c r="G41" s="15"/>
      <c r="H41" s="15"/>
    </row>
    <row r="42" customFormat="false" ht="135.75" hidden="false" customHeight="true" outlineLevel="0" collapsed="false">
      <c r="A42" s="13" t="s">
        <v>662</v>
      </c>
      <c r="B42" s="15" t="s">
        <v>663</v>
      </c>
      <c r="C42" s="15" t="s">
        <v>664</v>
      </c>
      <c r="D42" s="15"/>
      <c r="E42" s="15"/>
      <c r="F42" s="15"/>
      <c r="G42" s="15"/>
      <c r="H42" s="15"/>
    </row>
    <row r="43" customFormat="false" ht="94.5" hidden="false" customHeight="true" outlineLevel="0" collapsed="false">
      <c r="A43" s="13" t="s">
        <v>665</v>
      </c>
      <c r="B43" s="15" t="s">
        <v>666</v>
      </c>
      <c r="C43" s="15" t="s">
        <v>667</v>
      </c>
      <c r="D43" s="15"/>
      <c r="E43" s="15"/>
      <c r="F43" s="15"/>
      <c r="G43" s="15"/>
      <c r="H43" s="15"/>
    </row>
    <row r="44" customFormat="false" ht="135.75" hidden="false" customHeight="true" outlineLevel="0" collapsed="false">
      <c r="A44" s="13" t="s">
        <v>668</v>
      </c>
      <c r="B44" s="15" t="s">
        <v>669</v>
      </c>
      <c r="C44" s="15" t="s">
        <v>670</v>
      </c>
      <c r="D44" s="15"/>
      <c r="E44" s="15"/>
      <c r="F44" s="15"/>
      <c r="G44" s="15"/>
      <c r="H44" s="15"/>
    </row>
    <row r="45" customFormat="false" ht="149.25" hidden="false" customHeight="true" outlineLevel="0" collapsed="false">
      <c r="A45" s="13" t="s">
        <v>671</v>
      </c>
      <c r="B45" s="15" t="s">
        <v>672</v>
      </c>
      <c r="C45" s="15" t="s">
        <v>673</v>
      </c>
      <c r="D45" s="15"/>
      <c r="E45" s="15"/>
      <c r="F45" s="15"/>
      <c r="G45" s="15"/>
      <c r="H45" s="15"/>
    </row>
    <row r="46" customFormat="false" ht="149.25" hidden="false" customHeight="true" outlineLevel="0" collapsed="false">
      <c r="A46" s="13" t="s">
        <v>674</v>
      </c>
      <c r="B46" s="15" t="s">
        <v>675</v>
      </c>
      <c r="C46" s="15" t="s">
        <v>676</v>
      </c>
      <c r="D46" s="15"/>
      <c r="E46" s="15"/>
      <c r="F46" s="15"/>
      <c r="G46" s="15"/>
      <c r="H46" s="15"/>
    </row>
  </sheetData>
  <autoFilter ref="A8:L35"/>
  <mergeCells count="9">
    <mergeCell ref="A4:D4"/>
    <mergeCell ref="A5:D5"/>
    <mergeCell ref="C40:H40"/>
    <mergeCell ref="C41:H41"/>
    <mergeCell ref="C42:H42"/>
    <mergeCell ref="C43:H43"/>
    <mergeCell ref="C44:H44"/>
    <mergeCell ref="C45:H45"/>
    <mergeCell ref="C46:H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7.89453125" defaultRowHeight="15" customHeight="false" zeroHeight="false" outlineLevelRow="0" outlineLevelCol="0"/>
  <cols>
    <col collapsed="false" customWidth="true" hidden="false" outlineLevel="0" max="1" min="1" style="1" width="7.28"/>
    <col collapsed="false" customWidth="true" hidden="false" outlineLevel="0" max="2" min="2" style="1" width="27.31"/>
    <col collapsed="false" customWidth="true" hidden="false" outlineLevel="0" max="3" min="3" style="1" width="11.83"/>
    <col collapsed="false" customWidth="true" hidden="false" outlineLevel="0" max="4" min="4" style="1" width="7.28"/>
    <col collapsed="false" customWidth="true" hidden="false" outlineLevel="0" max="7" min="5" style="1" width="40.03"/>
    <col collapsed="false" customWidth="true" hidden="false" outlineLevel="0" max="8" min="8" style="1" width="8.19"/>
  </cols>
  <sheetData>
    <row r="1" customFormat="false" ht="17.15" hidden="false" customHeight="false" outlineLevel="0" collapsed="false">
      <c r="A1" s="2" t="s">
        <v>677</v>
      </c>
    </row>
    <row r="2" customFormat="false" ht="81" hidden="false" customHeight="true" outlineLevel="0" collapsed="false">
      <c r="A2" s="18" t="s">
        <v>678</v>
      </c>
      <c r="B2" s="18"/>
      <c r="C2" s="18"/>
      <c r="D2" s="18"/>
      <c r="E2" s="18"/>
      <c r="F2" s="18"/>
      <c r="G2" s="18"/>
      <c r="H2" s="18"/>
    </row>
    <row r="4" customFormat="false" ht="15" hidden="false" customHeight="false" outlineLevel="0" collapsed="false">
      <c r="A4" s="54" t="s">
        <v>679</v>
      </c>
      <c r="B4" s="50" t="n">
        <f aca="false">COUNTA($A$10:$A$50)</f>
        <v>41</v>
      </c>
      <c r="C4" s="58" t="s">
        <v>680</v>
      </c>
      <c r="D4" s="48" t="n">
        <f aca="false">COUNTIF($D$10:$D$50,"高")</f>
        <v>18</v>
      </c>
      <c r="E4" s="58" t="s">
        <v>681</v>
      </c>
      <c r="F4" s="48" t="n">
        <f aca="false">COUNTIF($D$10:$D$50,"中")</f>
        <v>16</v>
      </c>
      <c r="G4" s="58" t="s">
        <v>682</v>
      </c>
      <c r="H4" s="48" t="n">
        <f aca="false">COUNTIF($D$10:$D$50,"低")</f>
        <v>7</v>
      </c>
    </row>
    <row r="5" customFormat="false" ht="15" hidden="false" customHeight="false" outlineLevel="0" collapsed="false">
      <c r="A5" s="49" t="s">
        <v>683</v>
      </c>
      <c r="B5" s="59" t="n">
        <f aca="false">COUNTIF($C$10:$C$50,"前后矛盾")</f>
        <v>5</v>
      </c>
      <c r="C5" s="49" t="s">
        <v>684</v>
      </c>
      <c r="D5" s="59" t="n">
        <f aca="false">COUNTIF($C$10:$C$50,"信息缺失")</f>
        <v>14</v>
      </c>
      <c r="E5" s="49" t="s">
        <v>685</v>
      </c>
      <c r="F5" s="59" t="n">
        <f aca="false">COUNTIF($C$10:$C$50,"歧义")</f>
        <v>2</v>
      </c>
      <c r="G5" s="49" t="s">
        <v>686</v>
      </c>
      <c r="H5" s="59" t="n">
        <f aca="false">COUNTIF($C$10:$C$50,"模板残留")</f>
        <v>7</v>
      </c>
    </row>
    <row r="6" customFormat="false" ht="28.35" hidden="false" customHeight="false" outlineLevel="0" collapsed="false">
      <c r="A6" s="49" t="s">
        <v>687</v>
      </c>
      <c r="B6" s="59" t="n">
        <f aca="false">COUNTIF($C$10:$C$50,"技术性错误")</f>
        <v>1</v>
      </c>
      <c r="C6" s="49" t="s">
        <v>688</v>
      </c>
      <c r="D6" s="59" t="n">
        <f aca="false">COUNTIF($C$10:$C$50,"错别字笔误")</f>
        <v>4</v>
      </c>
      <c r="E6" s="49" t="s">
        <v>689</v>
      </c>
      <c r="F6" s="59" t="n">
        <f aca="false">COUNTIF($C$10:$C$50,"模糊不可验证")</f>
        <v>4</v>
      </c>
      <c r="G6" s="49" t="s">
        <v>690</v>
      </c>
      <c r="H6" s="59" t="n">
        <f aca="false">COUNTIF($C$10:$C$50,"术语不一致")</f>
        <v>4</v>
      </c>
    </row>
    <row r="8" customFormat="false" ht="15" hidden="false" customHeight="false" outlineLevel="0" collapsed="false">
      <c r="A8" s="6" t="s">
        <v>691</v>
      </c>
    </row>
    <row r="9" customFormat="false" ht="15" hidden="false" customHeight="false" outlineLevel="0" collapsed="false">
      <c r="A9" s="7" t="s">
        <v>103</v>
      </c>
      <c r="B9" s="7" t="s">
        <v>692</v>
      </c>
      <c r="C9" s="7" t="s">
        <v>693</v>
      </c>
      <c r="D9" s="7" t="s">
        <v>694</v>
      </c>
      <c r="E9" s="7" t="s">
        <v>695</v>
      </c>
      <c r="F9" s="7" t="s">
        <v>696</v>
      </c>
      <c r="G9" s="7" t="s">
        <v>697</v>
      </c>
      <c r="H9" s="7" t="s">
        <v>341</v>
      </c>
    </row>
    <row r="10" customFormat="false" ht="162.75" hidden="false" customHeight="true" outlineLevel="0" collapsed="false">
      <c r="A10" s="12" t="s">
        <v>698</v>
      </c>
      <c r="B10" s="15" t="s">
        <v>699</v>
      </c>
      <c r="C10" s="40" t="s">
        <v>683</v>
      </c>
      <c r="D10" s="60" t="s">
        <v>680</v>
      </c>
      <c r="E10" s="13" t="s">
        <v>700</v>
      </c>
      <c r="F10" s="15" t="s">
        <v>701</v>
      </c>
      <c r="G10" s="13" t="s">
        <v>702</v>
      </c>
      <c r="H10" s="40" t="s">
        <v>703</v>
      </c>
    </row>
    <row r="11" customFormat="false" ht="94.5" hidden="false" customHeight="true" outlineLevel="0" collapsed="false">
      <c r="A11" s="12" t="s">
        <v>704</v>
      </c>
      <c r="B11" s="15" t="s">
        <v>705</v>
      </c>
      <c r="C11" s="40" t="s">
        <v>684</v>
      </c>
      <c r="D11" s="60" t="s">
        <v>680</v>
      </c>
      <c r="E11" s="13" t="s">
        <v>706</v>
      </c>
      <c r="F11" s="15" t="s">
        <v>707</v>
      </c>
      <c r="G11" s="13" t="s">
        <v>708</v>
      </c>
      <c r="H11" s="40" t="s">
        <v>703</v>
      </c>
    </row>
    <row r="12" customFormat="false" ht="94.5" hidden="false" customHeight="true" outlineLevel="0" collapsed="false">
      <c r="A12" s="12" t="s">
        <v>709</v>
      </c>
      <c r="B12" s="15" t="s">
        <v>710</v>
      </c>
      <c r="C12" s="40" t="s">
        <v>684</v>
      </c>
      <c r="D12" s="60" t="s">
        <v>680</v>
      </c>
      <c r="E12" s="13" t="s">
        <v>711</v>
      </c>
      <c r="F12" s="15" t="s">
        <v>712</v>
      </c>
      <c r="G12" s="13" t="s">
        <v>713</v>
      </c>
      <c r="H12" s="40" t="s">
        <v>703</v>
      </c>
    </row>
    <row r="13" customFormat="false" ht="94.5" hidden="false" customHeight="true" outlineLevel="0" collapsed="false">
      <c r="A13" s="12" t="s">
        <v>714</v>
      </c>
      <c r="B13" s="15" t="s">
        <v>715</v>
      </c>
      <c r="C13" s="40" t="s">
        <v>684</v>
      </c>
      <c r="D13" s="60" t="s">
        <v>680</v>
      </c>
      <c r="E13" s="13" t="s">
        <v>716</v>
      </c>
      <c r="F13" s="15" t="s">
        <v>717</v>
      </c>
      <c r="G13" s="13" t="s">
        <v>718</v>
      </c>
      <c r="H13" s="40" t="s">
        <v>703</v>
      </c>
    </row>
    <row r="14" customFormat="false" ht="149.25" hidden="false" customHeight="true" outlineLevel="0" collapsed="false">
      <c r="A14" s="12" t="s">
        <v>719</v>
      </c>
      <c r="B14" s="15" t="s">
        <v>720</v>
      </c>
      <c r="C14" s="40" t="s">
        <v>684</v>
      </c>
      <c r="D14" s="60" t="s">
        <v>680</v>
      </c>
      <c r="E14" s="13" t="s">
        <v>721</v>
      </c>
      <c r="F14" s="13" t="s">
        <v>722</v>
      </c>
      <c r="G14" s="13" t="s">
        <v>723</v>
      </c>
      <c r="H14" s="40" t="s">
        <v>703</v>
      </c>
    </row>
    <row r="15" customFormat="false" ht="108.75" hidden="false" customHeight="true" outlineLevel="0" collapsed="false">
      <c r="A15" s="12" t="s">
        <v>724</v>
      </c>
      <c r="B15" s="15" t="s">
        <v>725</v>
      </c>
      <c r="C15" s="40" t="s">
        <v>684</v>
      </c>
      <c r="D15" s="60" t="s">
        <v>680</v>
      </c>
      <c r="E15" s="13" t="s">
        <v>726</v>
      </c>
      <c r="F15" s="13" t="s">
        <v>727</v>
      </c>
      <c r="G15" s="13" t="s">
        <v>728</v>
      </c>
      <c r="H15" s="40" t="s">
        <v>703</v>
      </c>
    </row>
    <row r="16" customFormat="false" ht="94.5" hidden="false" customHeight="true" outlineLevel="0" collapsed="false">
      <c r="A16" s="12" t="s">
        <v>729</v>
      </c>
      <c r="B16" s="15" t="s">
        <v>730</v>
      </c>
      <c r="C16" s="40" t="s">
        <v>685</v>
      </c>
      <c r="D16" s="60" t="s">
        <v>680</v>
      </c>
      <c r="E16" s="13" t="s">
        <v>731</v>
      </c>
      <c r="F16" s="13" t="s">
        <v>732</v>
      </c>
      <c r="G16" s="13" t="s">
        <v>733</v>
      </c>
      <c r="H16" s="40" t="s">
        <v>703</v>
      </c>
    </row>
    <row r="17" customFormat="false" ht="94.5" hidden="false" customHeight="true" outlineLevel="0" collapsed="false">
      <c r="A17" s="12" t="s">
        <v>734</v>
      </c>
      <c r="B17" s="15" t="s">
        <v>735</v>
      </c>
      <c r="C17" s="40" t="s">
        <v>684</v>
      </c>
      <c r="D17" s="60" t="s">
        <v>680</v>
      </c>
      <c r="E17" s="13" t="s">
        <v>736</v>
      </c>
      <c r="F17" s="13" t="s">
        <v>737</v>
      </c>
      <c r="G17" s="13" t="s">
        <v>738</v>
      </c>
      <c r="H17" s="40" t="s">
        <v>703</v>
      </c>
    </row>
    <row r="18" customFormat="false" ht="81" hidden="false" customHeight="true" outlineLevel="0" collapsed="false">
      <c r="A18" s="12" t="s">
        <v>739</v>
      </c>
      <c r="B18" s="15" t="s">
        <v>740</v>
      </c>
      <c r="C18" s="40" t="s">
        <v>686</v>
      </c>
      <c r="D18" s="60" t="s">
        <v>680</v>
      </c>
      <c r="E18" s="13" t="s">
        <v>741</v>
      </c>
      <c r="F18" s="13" t="s">
        <v>742</v>
      </c>
      <c r="G18" s="13" t="s">
        <v>743</v>
      </c>
      <c r="H18" s="40" t="s">
        <v>703</v>
      </c>
    </row>
    <row r="19" customFormat="false" ht="94.5" hidden="false" customHeight="true" outlineLevel="0" collapsed="false">
      <c r="A19" s="12" t="s">
        <v>744</v>
      </c>
      <c r="B19" s="15" t="s">
        <v>745</v>
      </c>
      <c r="C19" s="40" t="s">
        <v>684</v>
      </c>
      <c r="D19" s="60" t="s">
        <v>680</v>
      </c>
      <c r="E19" s="13" t="s">
        <v>746</v>
      </c>
      <c r="F19" s="13" t="s">
        <v>747</v>
      </c>
      <c r="G19" s="13" t="s">
        <v>748</v>
      </c>
      <c r="H19" s="40" t="s">
        <v>703</v>
      </c>
    </row>
    <row r="20" customFormat="false" ht="122.25" hidden="false" customHeight="true" outlineLevel="0" collapsed="false">
      <c r="A20" s="12" t="s">
        <v>749</v>
      </c>
      <c r="B20" s="15" t="s">
        <v>750</v>
      </c>
      <c r="C20" s="40" t="s">
        <v>684</v>
      </c>
      <c r="D20" s="60" t="s">
        <v>680</v>
      </c>
      <c r="E20" s="13" t="s">
        <v>751</v>
      </c>
      <c r="F20" s="13" t="s">
        <v>752</v>
      </c>
      <c r="G20" s="13" t="s">
        <v>753</v>
      </c>
      <c r="H20" s="40" t="s">
        <v>703</v>
      </c>
    </row>
    <row r="21" customFormat="false" ht="81" hidden="false" customHeight="true" outlineLevel="0" collapsed="false">
      <c r="A21" s="12" t="s">
        <v>754</v>
      </c>
      <c r="B21" s="15" t="s">
        <v>755</v>
      </c>
      <c r="C21" s="40" t="s">
        <v>686</v>
      </c>
      <c r="D21" s="60" t="s">
        <v>680</v>
      </c>
      <c r="E21" s="13" t="s">
        <v>756</v>
      </c>
      <c r="F21" s="13" t="s">
        <v>757</v>
      </c>
      <c r="G21" s="13" t="s">
        <v>758</v>
      </c>
      <c r="H21" s="40" t="s">
        <v>703</v>
      </c>
    </row>
    <row r="22" customFormat="false" ht="94.5" hidden="false" customHeight="true" outlineLevel="0" collapsed="false">
      <c r="A22" s="12" t="s">
        <v>759</v>
      </c>
      <c r="B22" s="15" t="s">
        <v>760</v>
      </c>
      <c r="C22" s="40" t="s">
        <v>684</v>
      </c>
      <c r="D22" s="60" t="s">
        <v>680</v>
      </c>
      <c r="E22" s="15" t="s">
        <v>761</v>
      </c>
      <c r="F22" s="13" t="s">
        <v>762</v>
      </c>
      <c r="G22" s="13" t="s">
        <v>763</v>
      </c>
      <c r="H22" s="40" t="s">
        <v>703</v>
      </c>
    </row>
    <row r="23" customFormat="false" ht="217.5" hidden="false" customHeight="true" outlineLevel="0" collapsed="false">
      <c r="A23" s="12" t="s">
        <v>764</v>
      </c>
      <c r="B23" s="15" t="s">
        <v>765</v>
      </c>
      <c r="C23" s="40" t="s">
        <v>683</v>
      </c>
      <c r="D23" s="60" t="s">
        <v>680</v>
      </c>
      <c r="E23" s="13" t="s">
        <v>766</v>
      </c>
      <c r="F23" s="13" t="s">
        <v>767</v>
      </c>
      <c r="G23" s="13" t="s">
        <v>768</v>
      </c>
      <c r="H23" s="40" t="s">
        <v>703</v>
      </c>
    </row>
    <row r="24" customFormat="false" ht="189.75" hidden="false" customHeight="true" outlineLevel="0" collapsed="false">
      <c r="A24" s="12" t="s">
        <v>769</v>
      </c>
      <c r="B24" s="15" t="s">
        <v>770</v>
      </c>
      <c r="C24" s="40" t="s">
        <v>686</v>
      </c>
      <c r="D24" s="60" t="s">
        <v>680</v>
      </c>
      <c r="E24" s="13" t="s">
        <v>771</v>
      </c>
      <c r="F24" s="13" t="s">
        <v>772</v>
      </c>
      <c r="G24" s="13" t="s">
        <v>773</v>
      </c>
      <c r="H24" s="40" t="s">
        <v>703</v>
      </c>
    </row>
    <row r="25" customFormat="false" ht="94.5" hidden="false" customHeight="true" outlineLevel="0" collapsed="false">
      <c r="A25" s="12" t="s">
        <v>774</v>
      </c>
      <c r="B25" s="15" t="s">
        <v>775</v>
      </c>
      <c r="C25" s="40" t="s">
        <v>684</v>
      </c>
      <c r="D25" s="60" t="s">
        <v>680</v>
      </c>
      <c r="E25" s="13" t="s">
        <v>776</v>
      </c>
      <c r="F25" s="15" t="s">
        <v>777</v>
      </c>
      <c r="G25" s="13" t="s">
        <v>778</v>
      </c>
      <c r="H25" s="40" t="s">
        <v>703</v>
      </c>
    </row>
    <row r="26" customFormat="false" ht="81" hidden="false" customHeight="true" outlineLevel="0" collapsed="false">
      <c r="A26" s="12" t="s">
        <v>779</v>
      </c>
      <c r="B26" s="15" t="s">
        <v>780</v>
      </c>
      <c r="C26" s="40" t="s">
        <v>687</v>
      </c>
      <c r="D26" s="60" t="s">
        <v>680</v>
      </c>
      <c r="E26" s="13" t="s">
        <v>781</v>
      </c>
      <c r="F26" s="13" t="s">
        <v>782</v>
      </c>
      <c r="G26" s="13" t="s">
        <v>783</v>
      </c>
      <c r="H26" s="40" t="s">
        <v>703</v>
      </c>
    </row>
    <row r="27" customFormat="false" ht="135.75" hidden="false" customHeight="true" outlineLevel="0" collapsed="false">
      <c r="A27" s="12" t="s">
        <v>784</v>
      </c>
      <c r="B27" s="15" t="s">
        <v>785</v>
      </c>
      <c r="C27" s="40" t="s">
        <v>683</v>
      </c>
      <c r="D27" s="60" t="s">
        <v>680</v>
      </c>
      <c r="E27" s="13" t="s">
        <v>786</v>
      </c>
      <c r="F27" s="13" t="s">
        <v>787</v>
      </c>
      <c r="G27" s="13" t="s">
        <v>788</v>
      </c>
      <c r="H27" s="40" t="s">
        <v>703</v>
      </c>
    </row>
    <row r="28" customFormat="false" ht="94.5" hidden="false" customHeight="true" outlineLevel="0" collapsed="false">
      <c r="A28" s="12" t="s">
        <v>789</v>
      </c>
      <c r="B28" s="15" t="s">
        <v>790</v>
      </c>
      <c r="C28" s="40" t="s">
        <v>684</v>
      </c>
      <c r="D28" s="60" t="s">
        <v>681</v>
      </c>
      <c r="E28" s="13" t="s">
        <v>791</v>
      </c>
      <c r="F28" s="13" t="s">
        <v>792</v>
      </c>
      <c r="G28" s="13" t="s">
        <v>793</v>
      </c>
      <c r="H28" s="40" t="s">
        <v>703</v>
      </c>
    </row>
    <row r="29" customFormat="false" ht="67.5" hidden="false" customHeight="true" outlineLevel="0" collapsed="false">
      <c r="A29" s="12" t="s">
        <v>794</v>
      </c>
      <c r="B29" s="15" t="s">
        <v>795</v>
      </c>
      <c r="C29" s="40" t="s">
        <v>686</v>
      </c>
      <c r="D29" s="60" t="s">
        <v>681</v>
      </c>
      <c r="E29" s="13" t="s">
        <v>796</v>
      </c>
      <c r="F29" s="13" t="s">
        <v>797</v>
      </c>
      <c r="G29" s="13" t="s">
        <v>798</v>
      </c>
      <c r="H29" s="40" t="s">
        <v>703</v>
      </c>
    </row>
    <row r="30" customFormat="false" ht="135.75" hidden="false" customHeight="true" outlineLevel="0" collapsed="false">
      <c r="A30" s="12" t="s">
        <v>799</v>
      </c>
      <c r="B30" s="15" t="s">
        <v>800</v>
      </c>
      <c r="C30" s="40" t="s">
        <v>686</v>
      </c>
      <c r="D30" s="60" t="s">
        <v>681</v>
      </c>
      <c r="E30" s="13" t="s">
        <v>801</v>
      </c>
      <c r="F30" s="13" t="s">
        <v>802</v>
      </c>
      <c r="G30" s="13" t="s">
        <v>803</v>
      </c>
      <c r="H30" s="40" t="s">
        <v>703</v>
      </c>
    </row>
    <row r="31" customFormat="false" ht="81" hidden="false" customHeight="true" outlineLevel="0" collapsed="false">
      <c r="A31" s="12" t="s">
        <v>804</v>
      </c>
      <c r="B31" s="15" t="s">
        <v>805</v>
      </c>
      <c r="C31" s="40" t="s">
        <v>688</v>
      </c>
      <c r="D31" s="60" t="s">
        <v>681</v>
      </c>
      <c r="E31" s="13" t="s">
        <v>806</v>
      </c>
      <c r="F31" s="13" t="s">
        <v>807</v>
      </c>
      <c r="G31" s="13" t="s">
        <v>808</v>
      </c>
      <c r="H31" s="40" t="s">
        <v>703</v>
      </c>
    </row>
    <row r="32" customFormat="false" ht="94.5" hidden="false" customHeight="true" outlineLevel="0" collapsed="false">
      <c r="A32" s="12" t="s">
        <v>809</v>
      </c>
      <c r="B32" s="15" t="s">
        <v>810</v>
      </c>
      <c r="C32" s="40" t="s">
        <v>684</v>
      </c>
      <c r="D32" s="60" t="s">
        <v>681</v>
      </c>
      <c r="E32" s="13" t="s">
        <v>811</v>
      </c>
      <c r="F32" s="13" t="s">
        <v>812</v>
      </c>
      <c r="G32" s="13" t="s">
        <v>813</v>
      </c>
      <c r="H32" s="40" t="s">
        <v>703</v>
      </c>
    </row>
    <row r="33" customFormat="false" ht="81" hidden="false" customHeight="true" outlineLevel="0" collapsed="false">
      <c r="A33" s="12" t="s">
        <v>814</v>
      </c>
      <c r="B33" s="15" t="s">
        <v>815</v>
      </c>
      <c r="C33" s="40" t="s">
        <v>684</v>
      </c>
      <c r="D33" s="60" t="s">
        <v>681</v>
      </c>
      <c r="E33" s="13" t="s">
        <v>816</v>
      </c>
      <c r="F33" s="13" t="s">
        <v>817</v>
      </c>
      <c r="G33" s="13" t="s">
        <v>818</v>
      </c>
      <c r="H33" s="40" t="s">
        <v>703</v>
      </c>
    </row>
    <row r="34" customFormat="false" ht="122.25" hidden="false" customHeight="true" outlineLevel="0" collapsed="false">
      <c r="A34" s="12" t="s">
        <v>819</v>
      </c>
      <c r="B34" s="15" t="s">
        <v>820</v>
      </c>
      <c r="C34" s="40" t="s">
        <v>684</v>
      </c>
      <c r="D34" s="60" t="s">
        <v>681</v>
      </c>
      <c r="E34" s="13" t="s">
        <v>409</v>
      </c>
      <c r="F34" s="13" t="s">
        <v>821</v>
      </c>
      <c r="G34" s="13" t="s">
        <v>822</v>
      </c>
      <c r="H34" s="40" t="s">
        <v>703</v>
      </c>
    </row>
    <row r="35" customFormat="false" ht="81" hidden="false" customHeight="true" outlineLevel="0" collapsed="false">
      <c r="A35" s="12" t="s">
        <v>823</v>
      </c>
      <c r="B35" s="15" t="s">
        <v>824</v>
      </c>
      <c r="C35" s="40" t="s">
        <v>685</v>
      </c>
      <c r="D35" s="60" t="s">
        <v>681</v>
      </c>
      <c r="E35" s="13" t="s">
        <v>825</v>
      </c>
      <c r="F35" s="13" t="s">
        <v>826</v>
      </c>
      <c r="G35" s="13" t="s">
        <v>827</v>
      </c>
      <c r="H35" s="40" t="s">
        <v>703</v>
      </c>
    </row>
    <row r="36" customFormat="false" ht="67.5" hidden="false" customHeight="true" outlineLevel="0" collapsed="false">
      <c r="A36" s="12" t="s">
        <v>828</v>
      </c>
      <c r="B36" s="15" t="s">
        <v>829</v>
      </c>
      <c r="C36" s="40" t="s">
        <v>683</v>
      </c>
      <c r="D36" s="60" t="s">
        <v>681</v>
      </c>
      <c r="E36" s="15" t="s">
        <v>830</v>
      </c>
      <c r="F36" s="13" t="s">
        <v>831</v>
      </c>
      <c r="G36" s="13" t="s">
        <v>832</v>
      </c>
      <c r="H36" s="40" t="s">
        <v>703</v>
      </c>
    </row>
    <row r="37" customFormat="false" ht="108.75" hidden="false" customHeight="true" outlineLevel="0" collapsed="false">
      <c r="A37" s="12" t="s">
        <v>833</v>
      </c>
      <c r="B37" s="15" t="s">
        <v>834</v>
      </c>
      <c r="C37" s="40" t="s">
        <v>683</v>
      </c>
      <c r="D37" s="60" t="s">
        <v>681</v>
      </c>
      <c r="E37" s="13" t="s">
        <v>835</v>
      </c>
      <c r="F37" s="15" t="s">
        <v>836</v>
      </c>
      <c r="G37" s="13" t="s">
        <v>837</v>
      </c>
      <c r="H37" s="40" t="s">
        <v>703</v>
      </c>
    </row>
    <row r="38" customFormat="false" ht="54" hidden="false" customHeight="true" outlineLevel="0" collapsed="false">
      <c r="A38" s="12" t="s">
        <v>838</v>
      </c>
      <c r="B38" s="15" t="s">
        <v>839</v>
      </c>
      <c r="C38" s="40" t="s">
        <v>686</v>
      </c>
      <c r="D38" s="60" t="s">
        <v>681</v>
      </c>
      <c r="E38" s="13" t="s">
        <v>840</v>
      </c>
      <c r="F38" s="13" t="s">
        <v>841</v>
      </c>
      <c r="G38" s="13" t="s">
        <v>842</v>
      </c>
      <c r="H38" s="40" t="s">
        <v>703</v>
      </c>
    </row>
    <row r="39" customFormat="false" ht="67.5" hidden="false" customHeight="true" outlineLevel="0" collapsed="false">
      <c r="A39" s="12" t="s">
        <v>843</v>
      </c>
      <c r="B39" s="15" t="s">
        <v>844</v>
      </c>
      <c r="C39" s="40" t="s">
        <v>689</v>
      </c>
      <c r="D39" s="60" t="s">
        <v>681</v>
      </c>
      <c r="E39" s="13" t="s">
        <v>845</v>
      </c>
      <c r="F39" s="13" t="s">
        <v>846</v>
      </c>
      <c r="G39" s="13" t="s">
        <v>847</v>
      </c>
      <c r="H39" s="40" t="s">
        <v>703</v>
      </c>
    </row>
    <row r="40" customFormat="false" ht="135.75" hidden="false" customHeight="true" outlineLevel="0" collapsed="false">
      <c r="A40" s="12" t="s">
        <v>848</v>
      </c>
      <c r="B40" s="15" t="s">
        <v>849</v>
      </c>
      <c r="C40" s="40" t="s">
        <v>689</v>
      </c>
      <c r="D40" s="60" t="s">
        <v>681</v>
      </c>
      <c r="E40" s="13" t="s">
        <v>850</v>
      </c>
      <c r="F40" s="13" t="s">
        <v>851</v>
      </c>
      <c r="G40" s="13" t="s">
        <v>852</v>
      </c>
      <c r="H40" s="40" t="s">
        <v>703</v>
      </c>
    </row>
    <row r="41" customFormat="false" ht="122.25" hidden="false" customHeight="true" outlineLevel="0" collapsed="false">
      <c r="A41" s="12" t="s">
        <v>853</v>
      </c>
      <c r="B41" s="15" t="s">
        <v>854</v>
      </c>
      <c r="C41" s="40" t="s">
        <v>689</v>
      </c>
      <c r="D41" s="60" t="s">
        <v>681</v>
      </c>
      <c r="E41" s="13" t="s">
        <v>855</v>
      </c>
      <c r="F41" s="13" t="s">
        <v>856</v>
      </c>
      <c r="G41" s="13" t="s">
        <v>857</v>
      </c>
      <c r="H41" s="40" t="s">
        <v>703</v>
      </c>
    </row>
    <row r="42" customFormat="false" ht="94.5" hidden="false" customHeight="true" outlineLevel="0" collapsed="false">
      <c r="A42" s="12" t="s">
        <v>858</v>
      </c>
      <c r="B42" s="15" t="s">
        <v>859</v>
      </c>
      <c r="C42" s="40" t="s">
        <v>689</v>
      </c>
      <c r="D42" s="60" t="s">
        <v>681</v>
      </c>
      <c r="E42" s="13" t="s">
        <v>860</v>
      </c>
      <c r="F42" s="13" t="s">
        <v>861</v>
      </c>
      <c r="G42" s="13" t="s">
        <v>862</v>
      </c>
      <c r="H42" s="40" t="s">
        <v>703</v>
      </c>
    </row>
    <row r="43" customFormat="false" ht="108.75" hidden="false" customHeight="true" outlineLevel="0" collapsed="false">
      <c r="A43" s="12" t="s">
        <v>863</v>
      </c>
      <c r="B43" s="15" t="s">
        <v>864</v>
      </c>
      <c r="C43" s="40" t="s">
        <v>686</v>
      </c>
      <c r="D43" s="60" t="s">
        <v>681</v>
      </c>
      <c r="E43" s="13" t="s">
        <v>865</v>
      </c>
      <c r="F43" s="13" t="s">
        <v>866</v>
      </c>
      <c r="G43" s="13" t="s">
        <v>867</v>
      </c>
      <c r="H43" s="40" t="s">
        <v>703</v>
      </c>
    </row>
    <row r="44" customFormat="false" ht="67.5" hidden="false" customHeight="true" outlineLevel="0" collapsed="false">
      <c r="A44" s="12" t="s">
        <v>868</v>
      </c>
      <c r="B44" s="15" t="s">
        <v>869</v>
      </c>
      <c r="C44" s="40" t="s">
        <v>690</v>
      </c>
      <c r="D44" s="60" t="s">
        <v>682</v>
      </c>
      <c r="E44" s="13" t="s">
        <v>870</v>
      </c>
      <c r="F44" s="13" t="s">
        <v>871</v>
      </c>
      <c r="G44" s="13" t="s">
        <v>872</v>
      </c>
      <c r="H44" s="40" t="s">
        <v>703</v>
      </c>
    </row>
    <row r="45" customFormat="false" ht="54" hidden="false" customHeight="true" outlineLevel="0" collapsed="false">
      <c r="A45" s="12" t="s">
        <v>873</v>
      </c>
      <c r="B45" s="15" t="s">
        <v>874</v>
      </c>
      <c r="C45" s="40" t="s">
        <v>688</v>
      </c>
      <c r="D45" s="60" t="s">
        <v>682</v>
      </c>
      <c r="E45" s="13" t="s">
        <v>875</v>
      </c>
      <c r="F45" s="13" t="s">
        <v>876</v>
      </c>
      <c r="G45" s="13" t="s">
        <v>877</v>
      </c>
      <c r="H45" s="40" t="s">
        <v>703</v>
      </c>
    </row>
    <row r="46" customFormat="false" ht="40.5" hidden="false" customHeight="true" outlineLevel="0" collapsed="false">
      <c r="A46" s="12" t="s">
        <v>878</v>
      </c>
      <c r="B46" s="15" t="s">
        <v>879</v>
      </c>
      <c r="C46" s="40" t="s">
        <v>688</v>
      </c>
      <c r="D46" s="60" t="s">
        <v>682</v>
      </c>
      <c r="E46" s="13" t="s">
        <v>880</v>
      </c>
      <c r="F46" s="13" t="s">
        <v>881</v>
      </c>
      <c r="G46" s="13" t="s">
        <v>882</v>
      </c>
      <c r="H46" s="40" t="s">
        <v>703</v>
      </c>
    </row>
    <row r="47" customFormat="false" ht="54" hidden="false" customHeight="true" outlineLevel="0" collapsed="false">
      <c r="A47" s="12" t="s">
        <v>883</v>
      </c>
      <c r="B47" s="15" t="s">
        <v>884</v>
      </c>
      <c r="C47" s="40" t="s">
        <v>690</v>
      </c>
      <c r="D47" s="60" t="s">
        <v>682</v>
      </c>
      <c r="E47" s="15" t="s">
        <v>506</v>
      </c>
      <c r="F47" s="15" t="s">
        <v>885</v>
      </c>
      <c r="G47" s="13" t="s">
        <v>886</v>
      </c>
      <c r="H47" s="40" t="s">
        <v>703</v>
      </c>
    </row>
    <row r="48" customFormat="false" ht="81" hidden="false" customHeight="true" outlineLevel="0" collapsed="false">
      <c r="A48" s="12" t="s">
        <v>887</v>
      </c>
      <c r="B48" s="15" t="s">
        <v>888</v>
      </c>
      <c r="C48" s="40" t="s">
        <v>690</v>
      </c>
      <c r="D48" s="60" t="s">
        <v>682</v>
      </c>
      <c r="E48" s="15" t="s">
        <v>889</v>
      </c>
      <c r="F48" s="13" t="s">
        <v>890</v>
      </c>
      <c r="G48" s="13" t="s">
        <v>891</v>
      </c>
      <c r="H48" s="40" t="s">
        <v>703</v>
      </c>
    </row>
    <row r="49" customFormat="false" ht="94.5" hidden="false" customHeight="true" outlineLevel="0" collapsed="false">
      <c r="A49" s="12" t="s">
        <v>892</v>
      </c>
      <c r="B49" s="15" t="s">
        <v>893</v>
      </c>
      <c r="C49" s="40" t="s">
        <v>690</v>
      </c>
      <c r="D49" s="60" t="s">
        <v>682</v>
      </c>
      <c r="E49" s="15" t="s">
        <v>894</v>
      </c>
      <c r="F49" s="13" t="s">
        <v>895</v>
      </c>
      <c r="G49" s="13" t="s">
        <v>896</v>
      </c>
      <c r="H49" s="40" t="s">
        <v>703</v>
      </c>
    </row>
    <row r="50" customFormat="false" ht="40.5" hidden="false" customHeight="true" outlineLevel="0" collapsed="false">
      <c r="A50" s="12" t="s">
        <v>897</v>
      </c>
      <c r="B50" s="15" t="s">
        <v>898</v>
      </c>
      <c r="C50" s="40" t="s">
        <v>688</v>
      </c>
      <c r="D50" s="60" t="s">
        <v>682</v>
      </c>
      <c r="E50" s="13" t="s">
        <v>899</v>
      </c>
      <c r="F50" s="13" t="s">
        <v>900</v>
      </c>
      <c r="G50" s="13" t="s">
        <v>901</v>
      </c>
      <c r="H50" s="40" t="s">
        <v>703</v>
      </c>
    </row>
  </sheetData>
  <autoFilter ref="A9:H50"/>
  <mergeCells count="1">
    <mergeCell ref="A2:H2"/>
  </mergeCells>
  <conditionalFormatting sqref="D10:D50">
    <cfRule type="cellIs" priority="2" operator="equal" aboveAverage="0" equalAverage="0" bottom="0" percent="0" rank="0" text="" dxfId="10">
      <formula>"高"</formula>
    </cfRule>
    <cfRule type="cellIs" priority="3" operator="equal" aboveAverage="0" equalAverage="0" bottom="0" percent="0" rank="0" text="" dxfId="11">
      <formula>"中"</formula>
    </cfRule>
    <cfRule type="cellIs" priority="4" operator="equal" aboveAverage="0" equalAverage="0" bottom="0" percent="0" rank="0" text="" dxfId="12">
      <formula>"低"</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2026-07-09T08:36:48Z</dcterms:created>
  <dc:creator>openpyxl</dc:creator>
  <dc:description/>
  <dc:language>zh-CN</dc:language>
  <cp:lastModifiedBy/>
  <dcterms:modified xsi:type="dcterms:W3CDTF">2026-07-09T08:36:48Z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